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ерхний фриз" sheetId="1" r:id="rId5"/>
    <sheet state="visible" name="Шапка и п.13" sheetId="2" r:id="rId6"/>
    <sheet state="visible" name="Преамбула и п.13" sheetId="3" r:id="rId7"/>
    <sheet state="visible" name="1. Предмет договора" sheetId="4" r:id="rId8"/>
    <sheet state="visible" name="6. Гарантийные обязательства " sheetId="5" r:id="rId9"/>
    <sheet state="visible" name="7. Ответственность сторон" sheetId="6" r:id="rId10"/>
    <sheet state="visible" name="8. Изменнеия и расторжения" sheetId="7" r:id="rId11"/>
    <sheet state="visible" name="9. Споры" sheetId="8" r:id="rId12"/>
    <sheet state="visible" name="10. Форс-Мажор" sheetId="9" r:id="rId13"/>
    <sheet state="visible" name="11 Заключение" sheetId="10" r:id="rId14"/>
    <sheet state="visible" name="Смета Ш1" sheetId="11" r:id="rId15"/>
    <sheet state="visible" name="Смета Ш2" sheetId="12" r:id="rId16"/>
    <sheet state="visible" name="Смета Ш3" sheetId="13" r:id="rId17"/>
    <sheet state="visible" name="Смета Ш4" sheetId="14" r:id="rId18"/>
    <sheet state="visible" name="Смета Ш5" sheetId="15" r:id="rId19"/>
    <sheet state="visible" name="Смета Ш6" sheetId="16" r:id="rId20"/>
    <sheet state="visible" name="п.12 Приложения" sheetId="17" r:id="rId21"/>
    <sheet state="visible" name="ГПР Ш1" sheetId="18" r:id="rId22"/>
    <sheet state="visible" name="ГПР Ш2" sheetId="19" r:id="rId23"/>
    <sheet state="visible" name="ГПР Ш3" sheetId="20" r:id="rId24"/>
    <sheet state="visible" name="ГПР(пример заполнения)" sheetId="21" r:id="rId25"/>
    <sheet state="visible" name="Б2. 2. Цена и порядок расчётов" sheetId="22" r:id="rId26"/>
    <sheet state="visible" name="3. Обязанности сторон" sheetId="23" r:id="rId27"/>
    <sheet state="visible" name="4. Организация работ" sheetId="24" r:id="rId28"/>
    <sheet state="visible" name="5. Сроки выполнения" sheetId="25" r:id="rId29"/>
    <sheet state="visible" name="ТЗ приложение 2" sheetId="26" r:id="rId30"/>
    <sheet state="visible" name="Акт стройготовности" sheetId="27" r:id="rId31"/>
    <sheet state="visible" name="Форма Акта стойготовности" sheetId="28" r:id="rId3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Точка безубыточности</t>
      </text>
    </comment>
    <comment authorId="0" ref="K6">
      <text>
        <t xml:space="preserve">Общее количество исполнителей на виде работ в этот день</t>
      </text>
    </comment>
    <comment authorId="0" ref="H8">
      <text>
        <t xml:space="preserve">вв-1.5  10м2  5шт.  50м2
вв-1.6  15м2   6шт. 90м2
__________________________
ИТОГО:                       140м2</t>
      </text>
    </comment>
    <comment authorId="0" ref="Q15">
      <text>
        <t xml:space="preserve">День оплаты за выполненные работы по захватке 3 согласно договора</t>
      </text>
    </comment>
  </commentList>
</comments>
</file>

<file path=xl/sharedStrings.xml><?xml version="1.0" encoding="utf-8"?>
<sst xmlns="http://schemas.openxmlformats.org/spreadsheetml/2006/main" count="1294" uniqueCount="885">
  <si>
    <t>Этап</t>
  </si>
  <si>
    <t>Шаг</t>
  </si>
  <si>
    <t>Левая панель (Этапы алгоритма)</t>
  </si>
  <si>
    <t>Правая панель (Действия пользователя)</t>
  </si>
  <si>
    <t>Нижняя панель (Результат)</t>
  </si>
  <si>
    <t>Действие пользователя</t>
  </si>
  <si>
    <t>Результат</t>
  </si>
  <si>
    <t>Справочник и данные</t>
  </si>
  <si>
    <t>Описание алгоритма планирования</t>
  </si>
  <si>
    <t>Примечания</t>
  </si>
  <si>
    <t>А0</t>
  </si>
  <si>
    <t>Верхний фриз интерфейса
(над всеми панелями)</t>
  </si>
  <si>
    <t>Выпадающий список «Проект»
• Поиск по названию/адресу
• Фильтр по статусу: «Готов к договору» / «В работе»
• Отображение: «Название проекта, Адрес, Виды работ»</t>
  </si>
  <si>
    <t>Предпросмотр проекта
• Название проекта
• Адрес объекта строительства
• Дата старта
• Виды работ (монтаж ПВХ-окон, фасадные системы)
• Общий объём работ (м²/п.м.)
• Статус готовности к договору</t>
  </si>
  <si>
    <t>1. Открыть выпадающий список «Проект»
2. Выбрать проект из списка (например: «Универсальный спортивный комплекс, Нижний Новгород, монтаж ПВХ-окон»)
3. Нажать «Выбрать» или кликнуть по строке</t>
  </si>
  <si>
    <t>1. В верхнем фризе отображается название выбранного проекта
2. Статус проекта: «Готов к договору» (зелёная индикация) / «Требуются доработки» (красная индикация)
3. При статусе «Готов к договору»:
• Активируется левая панель (структура договора)
• Кнопка «Далее» в нижней панели становится активной
4. При статусе «Требуются доработки»:
• Левая панель остаётся заблокированной (серый фон)
• Кнопка «Далее» неактивна
• В правой панели отображается список недостающих элементов</t>
  </si>
  <si>
    <t>Справочники:
• КЭ.Э12.Фиксация_модели (4 проекта ИЛИ 90 дней) — Справочник операций блокируется на обновление на период фиксации
• Конструктор Экономики (КЭ) — Направление: Э1–Э12 должны быть зафиксированы ДО начала работы над проектом (Пре-продакшн)
• КЭ.Э1.Буфер_времени (диапазон 0–100%) — фиксируется в Конструкторе Экономики ДО запуска первого проекта направления
• Список проектов из Конструктора проектов (КП)
• Статусы проекта: «Готов к договору», «В работе», «Требуются доработки»
Справочник обязательных условий для статуса «Готов к договору»:
— ✅ КЭ зафиксирован (Э1–Э12) — Пре-продакшн завершён 
— ✅ Буфер времени 0–100% зафиксирован в КЭ.Э1 — изменение после запуска требует допсоглашения 
— ✅ Все обязательные поля конструкций/изделий заполнены (*) — 100% «спланировано» (КП)
— ✅ Согласован график поставок материалов по каждому изделию — без согласованных дат поставок старт ГПР невозможен
— ✅ Набор операций согласован с заказчиком — все операции из Справочника операций привязаны к изделиям
— ✅ Двухуровневая ТБ пройдена 
• Уровень 1 (КЭ.Э1): Аванс ≥ 28% от цены договора
• Уровень 2 (СП Контур 1): Аванс ≥ Проектная ТБ (расчётная себестоимость до первого этапа оплаты)
— ✅ Фиксация модели активна:
• Справочник операций заблокирован на 4 проекта ИЛИ 90 дней
• Изменение требует допсоглашения со всеми проектами направления
Системные данные:
• Поле «Флаг_модели_зафиксирована» = да (после финализации Э12)
• Поле «Проектов_завершено_в_модели» = 0 (счётчик до 4)
• Поле «Дней_до_разблокировки» = 90 (счётчик дней)
• Поле «Буфер_времени_направление» = значение из КЭ.Э1 (0–100%)
• Флаг «Буфер_зафиксирован» = да/нет
• Флаг «Изменение_требует_допсоглашения» = да (после фиксации КЭ)
• Флаг «ТБ_пройдена» = да/нет (ЕСЛИ Аванс ≥ ТБ_Уровень_1 И Аванс ≥ ТБ_Проектная)
Данные проекта (из КП):
• Название проекта (из КП)
• Адрес объекта (регион, город, улица, дом)
• Виды работ (группировка по направлениям из сметы)
• Объём работ (площадь, погонные метры)
• Дата старта (при смене запоминается предыдущий, включая историю изменений в программе)
• Дата создания проекта в КП</t>
  </si>
  <si>
    <t>═══════════════════════════════
АЛГОРИТМ ВАЛИДАЦИИ ГОТОВНОСТИ ПРОЕКТА (КД)
════════════════════════════════
ЕСЛИ (КЭ.Флаг_модели_зафиксирована = да)
И (Все_конструкции.статус = "заполнено")
И (Все_изделия.статус_поставки = "согласован")
И (Операции.статус_согласования = "принято")
И (КЭ.Э1.Буфер_времени_зафиксирован = да)
ТО Статус_проекта = "Готов к договору"
Кнопка_«Далее» = активна
ИНАЧЕ Статус_проекта = "Требуется фиксация КЭ"
Кнопка_«Далее» = заблокирована
═══════════════════════════════════════
АЛГОРИТМ ФИКСАЦИИ МОДЕЛИ (Корректировка №16, КЭ.Э12)
═══════════════════════════════════════
• Справочник операций блокируется на обновление на 4 проекта ИЛИ 90 дней
• Изменение Справочника операций до завершения 4 проектов/90 дней требует допсоглашения со всеми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
═══════════════════════════════════════
БЛОКИРОВКА ПЕРЕХОДА
══════════════════════════════════════
• При статусе ≠ «Готов к договору» переход к заполнению договора невозможен
• Система выводит детализированный список незаполненных полей/неподтверждённых элементов с прямой ссылкой на соответствующий раздел КП для быстрого исправления
══════════════════════════════════════
ПРИМЕЧАНИЯ:
══════════════════════════════════════
• Буфер времени 0–100% фиксируется в КЭ.Э1 ДО запуска первого проекта направления
• Буфер направления (КЭ.Э1) применяется в ГПР (Контур 1) → сроки для Заказчика в договоре
• Изменение буфера после запуска проекта требует допсоглашения (см. КЭ Э1)
• Статус «Готов к договору» доступен ТОЛЬКО при зафиксированной версии КЭ (Э1–Э12)
• КЭ должен быть зафиксирован ДО первого проекта направления (Э12)
• Изменение после запуска 1-го объекта требует допсоглашения.
═══════════════════════════════════════
ПРИМЕЧАНИЯ К АЛГОРИТМУ ВАЛИДАЦИИ
══════════════════════════════════════
• Статус «Готов к договору» доступен ТОЛЬКО при зафиксированной версии КЭ (Э1–Э12)
• КЭ должен быть зафиксирован ДО первого проекта направления (Э12)
• Изменение после запуска 1-го объекта требует допсоглашения
═════════════════════════════════════
ПРИМЕЧАНИЯ К БУФЕРУ ВРЕМЕНИ 
═══════════════════════════════════
• Буфер времени (0–100%) фиксируется в КЭ.Э1 ДО запуска первого проекта направления
• Буфер направления (КЭ.Э1) применяется в ГПР (Контур 1) → сроки для Заказчика в договоре
• Буфер обучения (1,15/1,3) применяется в СП (Контур 2) → внутренний расчёт ФОТ и численности
• Буфер времени НЕ отображается Заказчику в детализации ГПР — только итоговая длительность проекта с учётом буфера
• Изменение буфера после запуска проекта требует допсоглашения (см. КЭ Э1)
══════════════════════════════════
ПРИМЕЧАНИЯ К ФИКСАЦИИ МОДЕЛИ
═════════════════════════════════
• Справочник операций блокируется на 4 проекта ИЛИ 90 дней (КЭ.Э12)
• КП использует Справочник операций (зафиксированный КЭ) для операций и нормативов
• Изменение Справочника операций до завершения 4 проектов/90 дней требует допсоглашения со всеми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t>
  </si>
  <si>
    <t xml:space="preserve">Статус «Готов к договору» доступен ТОЛЬКО при зафиксированной версии КЭ (Э1–Э12).
КЭ должен быть зафиксирован ДО первого проекта направления (Э12).
Изменение после запуска 1-го объекта требует допсоглашения.
Буфер времени (0–100%)
• Буфер времени фиксируется в КЭ.Э1 ДО запуска первого проекта направления
• Буфер направления (КЭ.Э1) применяется в ГПР (Контур 1) — сроки для Заказчика в договоре
• Изменение буфера после запуска проекта требует допсоглашения (см. КЭ Э1)
Фиксация модели (4 проекта ИЛИ 90 дней)
• Справочник операций блокируется на обновление на 4 проекта ИЛИ 90 дней (КЭ.Э12)
• КП использует Справочник операций (зафиксированный КЭ) для операций и нормативов
• Изменение Справочника операций до завершения 4 проектов/90 дней требует допсоглашения со всеми проектами направления
• Автоматическая разблокировка: после 4 проектов ИЛИ 90 дней система предлагает РН обновить модель КЭ (Э1–Э12)
Архитектурные принципы Орбиты:
• Принцип 1 (Алгоритм = координатор): КД работает на основе данных КЭ и КП. Ручное вмешательство в расчёты запрещено.
• Принцип 2 (Цифровые двойники): Все данные КД (смета, ГПР, ТЗ) сохраняются в структурированном формате для аналитики.
• Принцип 3 (Бенефициар норматива): Улучшение норматива ≥7% фиксируется в КД → исполнитель получает ПД 2% от стоимости операции.
</t>
  </si>
  <si>
    <t>А1</t>
  </si>
  <si>
    <t>Раздел без номера</t>
  </si>
  <si>
    <t xml:space="preserve">
Текст «Шапка договора» (верхняя часть договора до преамбулы)</t>
  </si>
  <si>
    <t>Форма «Шапка договора»
Поля для заполнения:
• Номер договора (только просмотр, серый фон)
• Категория работ: переключатель ☑ Подряда / ☐ Субподряда
• Вид работ (серый фон — данные из КП, редактируемый текст)
• Населённый пункт (серый фон — данные из КП, редактируемый текст)
• Дата заключения (поле с календарём)</t>
  </si>
  <si>
    <t>Предпросмотр шапки в формате печатного документа
• Левый верхний угол: населённый пункт
• Правый верхний угол: дата заключения
• Центр: «ДОГОВОР ПОДРЯДА № ___»
• Под заголовком: виды работ</t>
  </si>
  <si>
    <t>1. Просмотреть автосгенерированный номер договора
2. Выбрать категорию работ переключателем (Подряда/Субподряда)
3. При необходимости отредактировать окончания в поле «Вид работ» (падежи)
4. При необходимости отредактировать окончания в поле «Населённый пункт»
5. Выбрать дату заключения из календаря или ввести вручную</t>
  </si>
  <si>
    <t>1. Номер договора отображается в формате ДД.ММ.ГГГГ/№ (например: 06.02.2026/147)
2. При выборе «Субподряда» во всём тексте договора автоматически заменяется «Подрядчик» → «Субподрядчик»
3. Виды работ и населённый пункт отображаются с возможностью редактирования окончаний (серый фон сохраняется)
4. Критический триггер: при выборе даты заключения → запускается расчёт стоимости договора (п. 2.1)
5. Все обязательные поля подсвечиваются зелёным; кнопка «Далее» активируется только при 100% заполнении</t>
  </si>
  <si>
    <t>Справочники:
• Справочник Проектов/Объектов: «Подряда», «Субподряда»
• Справочник населённых пунктов РФ
Данные проекта из КП:
• Виды работ — поле «Виды работ» проекта (группировка по направлениям)
• Населённый пункт — извлечение из поля «Адрес объекта» (город/населённый пункт)
Системные данные:
• Счётчик номеров договоров (последовательная нумерация по дате)
• Текущая дата системы (предзаполнение даты договора)</t>
  </si>
  <si>
    <t>Алгоритм генерации номера договора:
Номер_договора = ДД.ММ.ГГГГ / Порядковый_номер_за_день
где Порядковый_номер_за_день — счётчик договоров, созданных в текущую дату (начинается с 1)
Триггер расчёта стоимости:
ЕСЛИ Дата_заключения ≠ пусто И Статус_проекта = "Готов к договору"
ТО Запустить_расчёт_стоимости(Приложение_№1)
Правило валидации перехода:
ЕСЛИ (Номер ≠ пусто) И (Категория ≠ пусто) И (Вид_работ ≠ пусто) И (Населённый_пункт ≠ пусто) И (Дата ≠ пусто)
ТО Кнопка_«Далее» = активна
ИНАЧЕ Кнопка_«Далее» = неактивна</t>
  </si>
  <si>
    <t>• Номер договора генерируется автоматически при открытии формы — ручное редактирование запрещено
• Редактирование окончаний (падежей) в полях «Вид работ» и «Населённый пункт» разрешено без подтверждения РП; полная замена текста требует согласования с Руководителем проекта
• Дата заключения — критическая точка запуска всех финансовых расчётов; изменение даты после заполнения сметы требует повторного расчёта и согласования новой итоговой стоимости с Заказчиком
• При выборе категории «Субподряда» система автоматически заменяет все упоминания «Подрядчик» на «Субподрядчик» в преамбуле, основном тексте и п. 13</t>
  </si>
  <si>
    <t>А2</t>
  </si>
  <si>
    <t>Раздел «Преамбула»</t>
  </si>
  <si>
    <t>Форма «Преамбула»
Две колонки: «Подрядчик» (слева), «Заказчик» (справа)
Блок «Подрядчик» → Шаг 1:
• Форма деятельности:
— ☑ Юрлицо/ИП / ☐ Физлицо / ☐ Самозанятый</t>
  </si>
  <si>
    <t>Отображается та часть Договора, которая заполняется</t>
  </si>
  <si>
    <t>1. Выбрать форму деятельности Подрядчика:
• ☑ Юрлицо/ИП — для ООО, АО, ИП
• ☐ Физлицо — для граждан без статуса ИП
• ☐ Самозанятый — для плательщиков НПД</t>
  </si>
  <si>
    <t>1. Активация соответствующего набора полей для выбранной формы:
• Юрлицо/ИП → поля ИНН, КПП, ОГРН/ОГРНИП, юрадрес, паспортные данные скрыты
• Физлицо/Самозанятый → поля паспортных данных активны, реквизиты скрыты</t>
  </si>
  <si>
    <t>Справочники:
• Справочник форм деятельности: «Юрлицо/ИП», «Физлицо», «Самозанятый»
Системные данные:
• Флаг Форма_деятельности_Подрядчика</t>
  </si>
  <si>
    <t>Алгоритм определения набора полей:
ЕСЛИ Форма_деятельности_Подрядчика = "Юрлицо/ИП"
ТО Показать_реквизиты = да, Показать_паспорт = нет
ИНАЧЕ Показать_реквизиты = нет, Показать_паспорт = да</t>
  </si>
  <si>
    <t>• Форма деятельности Подрядчика определяет структуру реквизитов и дальнейшие расчёты (СНО, НДС)
• Выбор влияет на текст преамбулы и п. 13</t>
  </si>
  <si>
    <t>Блок «Подрядчик» → Шаг 2:
• Наименование / ФИО:
— для Юрлицо/ИП: выбор из справочника контрагентов ИЛИ кнопка «Добавить нового» → модальная форма «Реквизиты»
— для Физлицо/Самозанятого: ручной ввод ФИО
• Реквизиты (ИНН, КПП, ОГРН/ОГРНИП) — автоподстановка после выбора наименования</t>
  </si>
  <si>
    <t>1. Выбрать Подрядчика из справочника контрагентов ИЛИ нажать «Добавить нового» и заполнить модальную форму «Реквизиты»:
• Полное наименование организации / ФИО ИП
• ИНН, КПП, ОГРН/ОГРНИП
• Юридический и почтовый адреса
2. Система автоматически проверяет контрольные суммы ИНН/ОГРН</t>
  </si>
  <si>
    <t>1. Автоподстановка всех реквизитов после выбора наименования из справочника
2. Валидация контрольных сумм:
• ✅ Корректный ИНН/ОГРН → зелёная индикация, поле разблокировано для редактирования окончаний
• ❌ Некорректный ИНН/ОГРН → красная индикация, кнопка «Далее» заблокирована до исправления</t>
  </si>
  <si>
    <t>Справочники:
• Справочник контрагентов Подрядчика (юрлица, ИП, физлица)
• Справочник адресов РФ (регионы, города, улицы)
Системные данные:
• Алгоритм проверки контрольных сумм ИНН (10/12 цифр)
• Алгоритм проверки контрольных сумм ОГРН (13 цифр)
• Поле СНО (система налогообложения) — из справочника контрагентов</t>
  </si>
  <si>
    <t>Алгоритм валидации ИНН:
ИНН_10 = Σ(i=1..9) Цифра[i] × (10−i+1) mod 11 mod 10
ИНН_12 = (Σ(i=1..10) Цифра[i] × (12−i+1) + Σ(i=11..12) Цифра[i] × (2−i+11)) mod 11 mod 10
Алгоритм валидации ОГРН:
Контрольная_цифра = (Σ(i=1..12) Цифра[i] × (13−i+1)) mod 11 mod 10
Алгоритм определения СНО:
ЕСЛИ Форма_деятельности = "Юрлицо/ИП" И Наименование ≠ пусто
ТО СНО = Справочник_контрагентов[Наименование].СНО
ИНАЧЕ СНО = определить_по_форме(Форма_деятельности)</t>
  </si>
  <si>
    <t>• СНО Подрядчика — критический параметр для расчёта сметы: определяет наличие/отсутствие НДС 20% в итоговой стоимости договора
• При смене СНО после расчёта сметы → обязательный повторный расчёт и согласование новой стоимости с Заказчиком
• Редактирование окончаний (падежей) в полях наименования и адреса разрешено без подтверждения РП; полная замена текста требует согласования
• При добавлении нового контрагента через форму «Реквизиты» все данные сохраняются в справочник контрагентов для будущего использования</t>
  </si>
  <si>
    <t>Блок «Подрядчик» → Шаг 3:
• Подписант:
— Должность (выбор из справочника: «Генеральный директор», «Руководитель проекта» и др.)
— ФИО (выбор из списка ответственных лиц проекта или ручной ввод)
— Телефон, email (маска ввода)
• Основание действия: ☑ Устав / ☐ Доверенность № ___ от ___</t>
  </si>
  <si>
    <t>1. Выбрать должность подписант из справочника или ввести вручную
2. Ввести ФИО, телефон, email
3. Выбрать основание действия:
• ☑ Устав — для генерального директора
• ☐ Доверенность — для иных лиц (обязательно заполнить номер и дату)</t>
  </si>
  <si>
    <t>1. При выборе «Доверенность» → обязательная активация полей «Номер» и «Дата»
2. При незаполненных полях доверенности → кнопка «Далее» заблокирована с подсказкой «Укажите номер и дату доверенности»
3. Контактные данные сохраняются для уведомлений в мессенджере МАКС (п. 4.1)</t>
  </si>
  <si>
    <t>Справочники:
• Справочник должностей: «Генеральный директор», «Руководитель проекта», «Коммерческий директор» и др.
• Список ответственных лиц проекта (из КП)
Системные данные:
• Маска ввода телефона: +7 (___) --_
• Валидация email по регулярному выражению</t>
  </si>
  <si>
    <t>Правило валидации основания:
ЕСЛИ Основание = "Доверенность" И (Номер_доверенности = пусто ИЛИ Дата_доверенности = пусто)
ТО Валидация_пройдена = нет, Кнопка_Далее = заблокирована
ИНАЧЕ Валидация_пройдена = да</t>
  </si>
  <si>
    <t>• Для самозанятых исполнителей основание действия всегда = «Свидетельство о регистрации» (автоподстановка)
• Контактные данные подписант используются для уведомлений в мессенджере МАКС (п. 4.1)
• Архитектурные принципы Орбиты (Корректировка №15):
— Принцип 1 (Алгоритм = координатор): Назначение подписантов и контактов фиксируется алгоритмом, ручное изменение требует логирования.
— Принцип 2 (Цифровые двойники): Контактные данные и реквизиты сохраняются в структурированном формате для аналитики и машинного обучения. КП передаёт данные в формате, пригодном для цифровых двойников.</t>
  </si>
  <si>
    <t>Блок «Подрядчик» → Шаг 4 (условный):
• Паспортные данные (только при выборе «Физлицо» или «Самозанятый»):
— Серия и номер паспорта (маска ___ ___ ____)
— Кем выдан, дата выдачи, код подразделения</t>
  </si>
  <si>
    <t>1. При выборе формы деятельности «Физлицо» или «Самозанятый» → автоматическая активация полей паспортных данных
2. Заполнить все поля паспортных данных</t>
  </si>
  <si>
    <t>1. Все поля паспортных данных становятся обязательными к заполнению
2. При незаполненных полях → кнопка «Далее» заблокирована</t>
  </si>
  <si>
    <t>Справочники:
• Справочник органов выдачи паспортов РФ (для автодополнения поля «Кем выдан»)
Системные данные:
• Маска серии/номера паспорта: ___ ___ ____
• Маска кода подразделения: -</t>
  </si>
  <si>
    <t>Правило активации паспортных данных:
ЕСЛИ Форма_деятельности ∈ {"Физлицо", "Самозанятый"}
ТО Паспортные_данные_обязательны = да, Показать_паспорт = да
ИНАЧЕ Паспортные_данные_обязательны = нет, Показать_паспорт = нет</t>
  </si>
  <si>
    <t>• Для Юрлицо/ИП паспортные данные не требуются — поля скрыты или неактивны
• Паспортные данные физлица/самозанятого используются для формирования раздела п. 13</t>
  </si>
  <si>
    <t>Блок «Заказчик» → Шаг 1:
• Форма деятельности: радиокнопки ☑ Юрлицо/ИП / ☐ Физлицо / ☐ Самозанятый</t>
  </si>
  <si>
    <t>1. Выбрать форму деятельности Заказчика:
• ☑ Юрлицо/ИП — для ООО, АО, ИП
• ☐ Физлицо — для граждан без статуса ИП
• ☐ Самозанятый — для плательщиков НПД</t>
  </si>
  <si>
    <t>1. Критический триггер: система автоматически определяет тип клиента:
• Юрлицо (гос. организация) → тип «Госзаказ»
• Юрлицо/ИП (коммерческая) → тип «Корпоративный»
• Физлицо/Самозанятый → тип «Частный»
2. При определении типа «Госзаказ» → автоматическая установка сроков 5 раб. дней в п. 4.7, 4.8 (нельзя изменить)
3. При типе «Корпоративный» → стандартные сроки 3 раб. дня (можно редактировать)</t>
  </si>
  <si>
    <t>Справочники:
• Справочник форм деятельности Заказчика
• Справочник типов клиентов: «Госзаказ», «Корпоративный», «Частный»
• Справочник гос. организаций (для автоматического определения «Госзаказ»)
Системные данные:
• Признак «Государственная организация» — флаг в справочнике контрагентов</t>
  </si>
  <si>
    <t>Алгоритм определения типа клиента:
ЕСЛИ Форма_деятельности = "Юрлицо/ИП" И Наименование ∈ Справочник_госорганизаций
ТО Тип_клиента = "Госзаказ"
ИНАЧЕ ЕСЛИ Форма_деятельности = "Юрлицо/ИП"
ТО Тип_клиента = "Корпоративный"
ИНАЧЕ Тип_клиента = "Частный"
Триггер установки сроков:
ЕСЛИ Тип_клиента = "Госзаказ"
ТО Срок_рассмотрения = 5, Срок_оплаты = 5, Редактирование_сроков = запрещено
ИНАЧЕ Срок_рассмотрения = 3, Срок_оплаты = 3, Редактирование_сроков = разрешено</t>
  </si>
  <si>
    <t>• Тип клиента «Госзаказ» блокирует редактирование сроков в п. 4.7, 4.8 — они фиксированы 5 раб. дней согласно 44-ФЗ
• Тип клиента влияет на версию договора: для госзаказа подгружается специальная форма с обязательными формулировками 44-ФЗ
• Определение типа клиента происходит ДО заполнения реквизитов Заказчика — это позволяет сразу показать корректную версию договора</t>
  </si>
  <si>
    <t>Блок «Заказчик» → Шаг 2:
• Наименование / ФИО:
— выбор из справочника контрагентов (проектов КП)
— при новом клиенте — кнопка «Добавить нового» → модальная форма «Реквизиты»
• Реквизиты (ИНН, КПП, ОГРН/ОГРНИП) — автоподстановка из КП или справочника</t>
  </si>
  <si>
    <t>1. Выбрать Заказчика из справочника контрагентов (данные из КП)
2. При отсутствии в справочнике — нажать «Добавить нового» и заполнить форму «Реквизиты»
3. Система проверяет контрольные суммы ИНН/ОГРН</t>
  </si>
  <si>
    <t>1. Автоподстановка реквизитов после выбора наименования из КП или справочника контрагентов Заказчика (проектов КП)
2. Валидация контрольных сумм ИНН/ОГРН (зелёная/красная индикация)
3. Редактирование окончаний (падежей) разрешено без подтверждения РП</t>
  </si>
  <si>
    <t>Справочники:
• Справочник контрагентов Заказчика (из КП и истории проектов)
• Справочник адресов РФ
Системные данные:
• Алгоритмы проверки контрольных сумм ИНН/ОГРН (аналогично Шагу 2)</t>
  </si>
  <si>
    <t>Алгоритм подгрузки данных из КП:
ЕСЛИ Проект.Заказчик ≠ пусто
ТО Наименование = Проект.Заказчик.Наименование
ИНН = Проект.Заказчик.ИНН
Адрес = Проект.Заказчик.Адрес
ИНАЧЕ Наименование = выбор_из_справочника_контрагентов
Алгоритм валидации ИНН/ОГРН: (аналогично Шагу 2)</t>
  </si>
  <si>
    <t>• Данные Заказчика из КП отображаются серым цветом — пользователь может редактировать только окончания (падежи)
• Полная замена текста требует подтверждения Руководителя проекта (защита от ошибок при копировании данных из КП)
• Для госзаказа должность подписант должна соответствовать требованиям 44-ФЗ (например, «Начальник управления»)</t>
  </si>
  <si>
    <t>Блок «Заказчик» → Шаг 3:
• Подписант:
— Должность, ФИО, телефон, email (аналогично блоку Подрядчика)
• Основание действия: ☑ Устав / ☐ Доверенность № ___ от ___</t>
  </si>
  <si>
    <t>1. Заполнить данные подписант Заказчика (должность, ФИО, контакты)
2. Выбрать основание действия (Устав/Доверенность)</t>
  </si>
  <si>
    <t>1. При выборе «Доверенность» → обязательное заполнение номера и даты (валидация)
2. Все поля становятся обязательными для завершения этапа</t>
  </si>
  <si>
    <t>Справочники:
• Справочник должностей Заказчика
• Список ответственных лиц Заказчика (из истории проектов)
Системные данные:
• Маски ввода телефона и email (аналогично Шагу 3)</t>
  </si>
  <si>
    <t>Правило валидации (аналогично Шагу 3):
ЕСЛИ Основание = "Доверенность" И (Номер = пусто ИЛИ Дата = пусто)
ТО Валидация_пройдена = нет, Кнопка_Далее = заблокирована
ИНАЧЕ Валидация_пройдена = да</t>
  </si>
  <si>
    <t>• Данные подписант Заказчика используются для уведомлений в мессенджере МАКС (п. 4.1) и формирования раздела п. 13
• Для госзаказа должность подписант должна соответствовать требованиям 44-ФЗ (например, «Начальник управления»)</t>
  </si>
  <si>
    <t>Блок «Заказчик» → Шаг 4 (условный):
• Паспортные данные (только при выборе «Физлицо» или «Самозанятый») — аналогично Шагу 4 для Подрядчика</t>
  </si>
  <si>
    <t>1. При выборе формы деятельности «Физлицо» или «Самозанятый» → заполнить паспортные данные</t>
  </si>
  <si>
    <t>1. Все поля паспортных данных становятся обязательными к заполнению (валидация масок)
2. При незаполненных полях → кнопка «Далее» заблокирована</t>
  </si>
  <si>
    <t>Справочники и данные:
• Справочник органов выдачи паспортов РФ
• Маски ввода паспортных данных (аналогично Шагу 4)</t>
  </si>
  <si>
    <t>Правило активации (аналогично Шагу 4):
ЕСЛИ Форма_деятельности ∈ {"Физлицо", "Самозанятый"}
ТО Паспортные_данные_обязательны = да, Показать_паспорт = да
ИНАЧЕ Паспортные_данные_обязательны = нет, Показать_паспорт = нет</t>
  </si>
  <si>
    <t>• Для Юрлицо/ИП паспортные данные не требуются
• Паспортные данные физлица используются для формирования раздела п. 13</t>
  </si>
  <si>
    <t>Раздел «Преамбула»
(автоматический переход)</t>
  </si>
  <si>
    <t>Системное действие:
Проверка 100% заполнения обоих блоков (Подрядчик и Заказчик)</t>
  </si>
  <si>
    <t>Автоматическое действие системы после 100% заполнения:
1. Система проверяет все обязательные поля обоих блоков:
• Форма деятельности, наименование, реквизиты/паспорт, подписант, основание действия для Подрядчика и Заказчика
2. При успешной валидации → автоматическое заполнение раздела «13. Юридические адреса, банковские реквизиты и подписи сторон»</t>
  </si>
  <si>
    <t>1. Раздел п. 13 заполняется автоматически данными из преамбулы:
• Наименование, ИНН, ОГРН, адреса — из блоков Подрядчика/Заказчика
• Банковские реквизиты — из справочника контрагентов (р/с, к/с, БИК, банк)
• Подписи — ФИО и должность подписант из преамбулы
2. Кнопка «Далее» активируется для перехода к п. 1 «Предмет договора»</t>
  </si>
  <si>
    <t>Справочники:
• Справочник банковских реквизитов контрагентов
• Шаблон раздела п. 13 (фиксированная структура)
Системные данные:
• Статус заполнения преамбулы (0–100%)
• Флаг «П.13_заполнен_автоматически»
• Флаг «Все_поля_валидны»</t>
  </si>
  <si>
    <t>Алгоритм валидации завершения преамбулы:
ЕСЛИ (Форма_Подрядчика ≠ пусто) И (Наименование_Подрядчика ≠ пусто) И (Подписант_Подрядчика ≠ пусто) И (Основание_Подрядчика ≠ пусто) И (Форма_Заказчика ≠ пусто) И (Наименование_Заказчика ≠ пусто) И (Подписант_Заказчика ≠ пусто) И (Основание_Заказчика ≠ пусто) И Валидация_ИНН_ОГРН = да И (Паспортные_данные_заполнены_при_требовании = да)
ТО Статус_заполнения_преамбулы = 100%, Валидация_пройдена = да
ИНАЧЕ Статус_заполнения_преамбулы &lt; 100%, Валидация_пройдена = нет
Алгоритм автозаполнения п. 13:
ЕСЛИ Валидация_пройдена = да
ТО Заполнить_п13(
Подрядчик.Наименование, Подрядчик.ИНН, Подрядчик.ОГРН,
Подрядчик.Юрадрес, Подрядчик.Почтовый_адрес,
Подрядчик.Банковские_реквизиты, Подрядчик.Подписант.ФИО, Подрядчик.Подписант.Должность,
Заказчик.Аналогично..., Флаг_п13_заполнен = да
)</t>
  </si>
  <si>
    <t>• Раздел п. 13 не требует ручного заполнения — он полностью формируется системой на основе данных преамбулы (согласно комментарию в файле договора)
• Редактирование п. 13 возможно только через корректировку исходных данных в блоках Подрядчика/Заказчика
• Автозаполнение п. 13 — финальный триггер завершения Этапа А2 и разблокировки перехода к Этапу А3 (п. 1 Предмет договора)
• При выборе «Самозанятый» у Подрядчика → в п. 4.6 автоматически заменяется «Счёт-фактура» на «Чек» (триггер срабатывает при экспорте договора)</t>
  </si>
  <si>
    <t>Ответственная роль</t>
  </si>
  <si>
    <t>А3</t>
  </si>
  <si>
    <t>Раздел «1. Предмет договора»
Подпункт 1.1 выделен</t>
  </si>
  <si>
    <t>Форма «1.1 Виды работ»
Поля:
• Виды работ (серый фон — данные из КП)
• Наименование объекта (серый фон — данные из КП)
• Полный адрес объекта (серый фон — данные из КП)</t>
  </si>
  <si>
    <t>Предпросмотр п. 1.1
Текст договора с подсвеченными полями:
«Подрядчик обязуется выполнить для Заказчика работы, но не ограничиваясь: — [Виды работ] на объекте, предоставленном Заказчиком: „[Наименование объекта] ([Полный адрес])“»</t>
  </si>
  <si>
    <t>1. Просмотреть автоподставленные виды работ из КП
2. При необходимости отредактировать окончания (падежи) в поле «Виды работ»
3. Просмотреть автоподставленное наименование объекта из КП</t>
  </si>
  <si>
    <t>1. Виды работ отображаются серым цветом с возможностью редактирования окончаний (например: «монтаж окон из ПВХ-профиля и фасадные системы из алюминиевого профиля»)
2. Наименование объекта отображается серым цветом с возможностью редактирования окончаний (падежи)
3. Все поля подсвечиваются зелёным при заполнении</t>
  </si>
  <si>
    <t>Справочники:
• Справочник видов работ (группировка по направлениям из КП)
• Справочник объектов (наименования)
Данные проекта из КП:
• Поле «Виды работ» проекта
• Поле «Наименование объекта» проекта
• Поле «Адрес объекта» проекта</t>
  </si>
  <si>
    <t>Алгоритм валидации редактирования:
ЕСЛИ Поле.Источник = "КП"
ТО Режим_редактирования = "только_окончания"
ИНАЧЕ Режим_редактирования = "полный_ввод"
Правило валидации перехода:
ЕСЛИ (Виды_работ ≠ пусто) И (Наименование_объекта ≠ пусто)
ТО Валидация_1.1_пройдена = да
ИНАЧЕ Валидация_1.1_пройдена = нет</t>
  </si>
  <si>
    <t>Инженер ПТО</t>
  </si>
  <si>
    <t>• Редактирование окончаний (падежей) разрешено без подтверждения РП; полная замена текста требует согласования с Руководителем проекта
• Данные из КП отображаются серым цветом как визуальный индикатор источника</t>
  </si>
  <si>
    <t>Раздел «1. Предмет договора»
Подпункт 1.1 (адрес) выделен</t>
  </si>
  <si>
    <t>Форма «Полный адрес объекта»
Модальная форма с полями:
• Субъект РФ (выбор из справочника)
• Область/край/республика (выбор)
• Город (выбор/ввод)
• Район (выбор/ввод)
• Улица (ввод)
• Дом/строение (ввод)
• Квартира/офис (ввод, опционально)
Альтернатива: «Комбинированный адрес» (чекбокс) → форма для территорий между объектами</t>
  </si>
  <si>
    <t>Предпросмотр п. 1.1
Полный адрес в формате:
«Российская Федерация, Нижегородская область, г. Нижний Новгород, Канавинский район, ул. Бетанкура, д. 5»</t>
  </si>
  <si>
    <t>1. Открыть модальную форму «Полный адрес объекта»
2. Заполнить все обязательные поля адреса (субъект РФ → дом)
3. При необходимости активировать чекбокс «Комбинированный адрес» и заполнить альтернативную форму</t>
  </si>
  <si>
    <t>1. Система автоматически проверяет полноту адреса:
• ✅ Все обязательные поля заполнены → зелёная индикация, кнопка «Сохранить» активна
• ❌ Отсутствует обязательное поле → красная индикация, подсказка «Укажите [поле]»
2. При выборе «Комбинированный адрес» → стандартная форма скрывается, отображается альтернативная форма для описания территории</t>
  </si>
  <si>
    <t>Справочники:
• Справочник субъектов РФ
• Справочник городов и районов РФ
Системные данные:
• Маски ввода для полей адреса
• Флаг «Комбинированный_адрес» (да/нет)
• Поле «Расстояние_до_объекта» (км) — для расчёта логистики в смете (Этап Б1)</t>
  </si>
  <si>
    <t>Алгоритм валидации адреса:
ЕСЛИ (Субъект_РФ ≠ пусто) И (Город ≠ пусто) И (Улица ≠ пусто) И (Дом ≠ пусто)
ТО Адрес_валиден = да
ИНАЧЕ Адрес_валиден = нет
Алгоритм расчёта логистики (для Этапа Б1):
ЕСЛИ Расстояние_до_объекта &gt; 100 км
ТО Статья_логистика = "Проезд исполнителей межгород"
ИНАЧЕ Статья_логистика = "Проезд исполнителей город"</t>
  </si>
  <si>
    <t>• Полный адрес объекта — обязательное поле для расчёта логистики в смете (проезд исполнителей, доставка материалов)
• Расстояние до объекта (120 км в примере) влияет на расчёт накладных расходов в Этапе Б1 (проезд исполнителей = 4 чел × 300 ₽/день × 30 дней = 36 000 ₽)
• Комбинированный адрес используется для объектов-территорий (например: «г. Нижний Новгород, территория между ул. Ледовая (д. 3–7) и пр. Гагарина (д. 10–14)»)</t>
  </si>
  <si>
    <t>Раздел «1. Предмет договора»
Подпункт 1.2 выделен</t>
  </si>
  <si>
    <t>Форма «1.2 Смета»
Поле:
• Смета: ссылка на Приложение №1 (только просмотр, серый фон)
Кнопка: «Перейти к заполнению Сметы» (активна только после завершения Этапа А)</t>
  </si>
  <si>
    <t>Предпросмотр п. 1.2
Текст договора:
«Перечень, состав, объем и этапность Работ определяются Сметой, являющейся неотъемлемой частью настоящего договора (Приложение №1).»</t>
  </si>
  <si>
    <t>1. Просмотреть статус привязки Сметы:
• Серый фон + текст «Не заполнена» → Смета не привязана
• Серый фон + сумма (например: «5 809 068 ₽») → Смета привязана</t>
  </si>
  <si>
    <t>1. При статусе «Не заполнена»:
• Кнопка «Перейти к заполнению Сметы» неактивна до завершения Этапа А
• Подсказка: «Смета будет заполнена на этапе расчётов (Этап Б1)»
2. После завершения Этапа А и заполнения Сметы:
• Автоматическая привязка суммы к п. 1.2
• Отображение итоговой суммы с НДС/без НДС в зависимости от СНО Подрядчика</t>
  </si>
  <si>
    <t>Справочники:
• Справочник статусов сметы: «Не заполнена», «В работе», «Заполнена»
Системные данные:
• Ссылка на Приложение №1 (Смета)
• Флаг «Смета_заполнена» (да/нет)
• Итоговая сумма сметы (с/без НДС)</t>
  </si>
  <si>
    <t>Алгоритм привязки сметы:
ЕСЛИ Смета_заполнена = да И Этап_А_завершён = да
ТО Привязать_сумму_к_п1.2(Сумма_сметы, С_НДС/Без_НДС)
ИНАЧЕ Отобразить_статус("Не заполнена")
Блокировка расчёта стоимости:
ЕСЛИ Смета_заполнена = нет
ТО Блокировать_расчёт_п2.1 = да
ИНАЧЕ Блокировать_расчёт_п2.1 = нет</t>
  </si>
  <si>
    <t>• В п. 1.2 отображается только ССЫЛКА на Смету — сама смета заполняется позже в разделе «Приложения» (Этап Б1)
• Расчёт стоимости договора (п. 2.1) запускается только после привязки заполненной Сметы
• Сумма в п. 1.2 отображается с учётом СНО Подрядчика (с НДС 20% для ОСНО, без НДС для УСН/ЕНВД)</t>
  </si>
  <si>
    <t>Раздел «1. Предмет договора»
Подпункт 1.3 выделен</t>
  </si>
  <si>
    <t>Форма «1.3 Документация»
Модальная форма «Документация к договору» с чекбоксами:
• ☑ Техническое задание (Приложение №2)
• ☑ АР (архитектурные решения)
• ☑ КМ (конструктивные металлические)
• ☐ Технологические карты
• ☐ Геодезия (данные геодезической съёмки)
• ☑ Проект производства работ (ППР)
• ☑ График производства работ (Приложение №3)</t>
  </si>
  <si>
    <t>Предпросмотр п. 1.3
Текст договора с подсвеченными выбранными документами:
«Работы должны быть выполнены Подрядчиком в соответствии со следующими документами и требованиями:
а) техническим заданием (Приложение №2 к настоящему договору);
б) рабочей документацией (АР, КМ...);
в) проектом производства работ (ППР);
г) ...
е) графиком производства работ (ГПР, Приложение №3 к настоящему договору)»</t>
  </si>
  <si>
    <t>1. Открыть модальную форму «Документация к договору»
2. Активировать обязательные чекбоксы:
• ☑ Техническое задание
• ☑ АР
• ☑ КМ
• ☑ ППР
• ☑ ГПР (Приложение №3)
3. При наличии — активировать опциональные чекбоксы (Технологические карты, Геодезия)
4. Нажать «Сохранить»</t>
  </si>
  <si>
    <t>1. Обязательные чекбоксы подсвечиваются красным при снятии галочки:
• Подсказка: «Документ обязателен для расчёта стоимости договора»
2. При сохранении с неполным набором обязательных документов:
• Кнопка «Далее» заблокирована
• Подсказка: «Требуется минимум: ТЗ, АР, КМ, ППР, ГПР»
3. При полном наборе → все чекбоксы подсвечиваются зелёным, кнопка «Далее» разблокируется</t>
  </si>
  <si>
    <t>Справочники:
• Справочник типов документации: «АР», «КМ», «Технологические карты», «Геодезия», «ППР», «ТЗ», «ГПР»
Данные проекта из КП:
• Статус документации проекта (загружена/не загружена)
• Ссылки на файлы документации в облаке</t>
  </si>
  <si>
    <t>Алгоритм валидации документации:
Обязательные_документы = {"ТЗ", "АР", "КМ", "ППР", "ГПР"}
ЕСЛИ Выбранные_документы ⊇ Обязательные_документы
ТО Документация_валидна = да
ИНАЧЕ Документация_валидна = нет
Блокировка расчёта стоимости:
ЕСЛИ Документация_валидна = нет
ТО Блокировать_расчёт_п2.1 = да
ИНАЧЕ Блокировать_расчёт_п2.1 = нет</t>
  </si>
  <si>
    <t>• Минимальный набор документации (ТЗ, АР, КМ, ППР, ГПР) обязателен для расчёта стоимости договора (п. 2.1)
• Неполный набор документации блокирует переход к Этапу Б (расчётам)
• Документация из КП подтягивается автоматически; при отсутствии — требуется ручная загрузка через модальную форму</t>
  </si>
  <si>
    <t>Раздел «1. Предмет договора»
Подпункт 1.4 выделен</t>
  </si>
  <si>
    <t>Форма «1.4 Материалы»
Радиокнопки:
• ☑ Заказчиком
• ☐ Подрядчиком
• ☐ Заказчиком по заявкам Подрядчика</t>
  </si>
  <si>
    <t>Предпросмотр п. 1.4
Текст договора с подсвеченным выбором:
«Предусмотренные п. 1.1 настоящего договора Работы выполняются силами и средствами Подрядчика из материалов, предоставленных [Заказчиком].»</t>
  </si>
  <si>
    <t>1. Выбрать источник материалов:
• ☑ Заказчиком — материалы предоставляет Заказчик (стандартный сценарий)
• ☐ Подрядчиком — материалы закупает Подрядчик (заглушка на этапе MVP)
• ☐ Заказчиком по заявкам Подрядчика — материалы по заявкам (заглушка на этапе MVP)</t>
  </si>
  <si>
    <t>1. При выборе «Заказчиком»:
• В п. 3.1.4 автоматически активируется текст о графике поставок материалов
• Триггер: если материалы не поставлены вовремя → система предлагает направить письмо-уведомление о готовности Подрядчика закупить материалы за свой счёт (п. 1.4.1)
2. При выборе других вариантов:
• Отображается подсказка: «Функционал временно недоступен (заглушка). На этапе MVP материалы предоставляются Заказчиком»</t>
  </si>
  <si>
    <t>Справочники:
• Справочник источников материалов: «Заказчиком», «Подрядчиком», «Заказчиком по заявкам»
Системные данные:
• Флаг «Источник_материалов»
• Флаг «Заглушка_материалы» (да/нет) — для вариантов кроме «Заказчиком»</t>
  </si>
  <si>
    <t>Алгоритм активации триггера п. 3.1.4:
ЕСЛИ Источник_материалов = "Заказчиком"
ТО Активировать_текст_п3.1.4 = да
ИНАЧЕ Активировать_текст_п3.1.4 = нет
Алгоритм триггера несвоевременной поставки:
ЕСЛИ (Дата_фактической_поставки − Дата_плановой_поставки) &gt; 0
ТО Сгенерировать_письмо_уведомление("Готовы закупить материалы за свой счёт")</t>
  </si>
  <si>
    <t>• На этапе MVP реализован только вариант «Заказчиком»; остальные варианты — заглушки с предупреждением
• Выбор «Заказчиком» влияет на текст п. 3.1.4 (обязанность Заказчика предоставить график поставок)
• Триггер несвоевременной поставки активируется в Планировщике при отклонении от графика поставок в ГПР</t>
  </si>
  <si>
    <t>Раздел «1. Предмет договора»
(автоматический переход)</t>
  </si>
  <si>
    <t>Системное действие:
Проверка 100% заполнения всех подпунктов 1.1–1.4</t>
  </si>
  <si>
    <t>Предпросмотр п. 1
Полностью заполненный текст пункта 1 с подсвеченными данными:
• Виды работ и объект (1.1)
• Ссылка на Смету (1.2)
• Перечень документации (1.3)
• Источник материалов (1.4)</t>
  </si>
  <si>
    <t>Автоматическое действие системы после 100% заполнения:
1. Система проверяет все обязательные поля пункта 1:
• 1.1: виды работ, объект, полный адрес ≠ пусто
• 1.2: статус Сметы ≠ «Не заполнена» (или разрешён переход без сметы на этапе А)
• 1.3: все обязательные документы выбраны
• 1.4: источник материалов выбран</t>
  </si>
  <si>
    <t>1. При успешной валидации:
• Все подпункты 1.1–1.4 подсвечиваются зелёным в левой панели
• Кнопка «Далее» активируется для перехода к Этапу А4 (п. 6 Гарантийные обязательства)
2. При неудачной валидации:
• Незаполненные поля подсвечиваются красным с подсказкой «Обязательное поле»
• Кнопка «Далее» заблокирована</t>
  </si>
  <si>
    <t>Справочники:
• Справочник обязательных полей пункта 1
Системные данные:
• Статус заполнения пункта 1 (0–100%)
• Флаг «Пункт_1_валиден» (да/нет)</t>
  </si>
  <si>
    <t>Алгоритм валидации пункта 1:
ЕСЛИ (1.1_валиден = да) И (1.3_валиден = да) И (1.4_валиден = да)
ТО Пункт_1_валиден = да
ИНАЧЕ Пункт_1_валиден = нет
Примечание по 1.2:
Смета (1.2) не блокирует завершение Этапа А — она заполняется позже в Этапе Б1. Валидация 1.2 происходит на этапе расчётов.</t>
  </si>
  <si>
    <t>• Пункт 1.2 (Смета) не является блокирующим для завершения Этапа А — ссылка на Смету привязывается автоматически после её заполнения в Этапе Б1
• Завершение пункта 1 разблокирует переход к следующим простым пунктам договора (п. 6, п. 7, п. 8–11) в рамках Этапа А
• Все данные пункта 1 влияют на расчёты в Этапе Б:
— Адрес → логистика в накладных расходах
— Документация → расчёт трудоёмкости операций в смете
— Материалы → расчёт ответственности за порчу в п. 3.2.5</t>
  </si>
  <si>
    <t>А6</t>
  </si>
  <si>
    <t>Раздел «6. Гарантийные обязательства»
Подпункты 6.1–6.3 выделены группой</t>
  </si>
  <si>
    <t>Форма «6.1–6.3 Обязанности Подрядчика»
Поля только для просмотра (фиксированный текст):
• 6.1 — выполнение работ в полном объёме и в сроки из ГПР (Прил. №3)
• 6.2 — соответствие ГОСТ, СП, СНиП, проектной документации, ТЗ (Прил. №2)
• 6.3 — своевременное устранение недостатков при приёмке и в гарантийный срок</t>
  </si>
  <si>
    <t>Предпросмотр п. 6.1–6.3
Текст договора с подсвеченными фиксированными формулировками (серый фон)</t>
  </si>
  <si>
    <t>1. Просмотреть фиксированный текст подпунктов 6.1–6.3
2. Убедиться, что ссылки на Приложения №2 и №3 корректны (активные гиперссылки)</t>
  </si>
  <si>
    <t>1. Все три подпункта отображаются серым цветом (только просмотр)
2. Система автоматически проверяет наличие привязанных Приложений №2 (ТЗ) и №3 (ГПР):
• ✅ Приложения привязаны → статус «Валидно»
• ❌ Приложение отсутствует → подсветка красным + подсказка «Привяжите Приложение №2/№3 в п. 1.3»</t>
  </si>
  <si>
    <t>Справочники:
• Справочник нормативных документов: ГОСТ, СП, СНиП (для автодополнения в тексте 6.2)
Системные данные:
• Флаг «Приложение_№2_привязано»
• Флаг «Приложение_№3_привязано»</t>
  </si>
  <si>
    <t>Алгоритм валидации ссылок:
ЕСЛИ (Приложение_№2_привязано = да) И (Приложение_№3_привязано = да)
ТО Статус_6.1_6.3 = "Валидно"
ИНАЧЕ Статус_6.1_6.3 = "Требуется_привязка_приложений"</t>
  </si>
  <si>
    <t>• Подпункты 6.1–6.3 содержат фиксированный текст без возможности редактирования — только просмотр и валидация ссылок на приложения
• Ссылки на Приложения №2 и №3 должны быть привязаны ранее в п. 1.3, иначе система блокирует экспорт договора</t>
  </si>
  <si>
    <t>Раздел «6. Гарантийные обязательства»
Подпункт 6.4 выделен</t>
  </si>
  <si>
    <t>Форма «6.4 Гарантийный срок»
Поля:
• Гарантийный срок на монтажные работы: [24] (выпадающий список: 12 / 18 / 24 / 36 / 48 месяцев)
• Текст условия начала срока (фиксированный, серый фон): «...начинается с даты полной оплаты всех принятых Заказчиком работ»</t>
  </si>
  <si>
    <t>Предпросмотр п. 6.4
Текст договора:
«Гарантийный срок на выполненные монтажные работы составляет [24] (двадцать четыре) месяца и начинается с даты полной оплаты всех принятых Заказчиком работ по настоящему Договору.»</t>
  </si>
  <si>
    <t>1. Просмотреть значение по умолчанию: 24 месяца
2. При необходимости выбрать другое значение из выпадающего списка (12 / 18 / 36 / 48 мес.)
3. Сохранить выбор</t>
  </si>
  <si>
    <t>1. Система устанавливает значение 24 месяца по умолчанию при открытии формы
2. При выборе другого значения:
• Значение сохраняется в проекте КД (поле «Гарантийный_срок_проекта»)
• Текст в нижней панели обновляется с прописью числа («двадцать четыре» → «тридцать шесть»)
3. Все значения подсвечиваются зелёным после сохранения</t>
  </si>
  <si>
    <t>Справочники:
• Справочник стандартных гарантийных сроков: 12, 18, 24, 36, 48 месяцев (для разных типов работ)
Системные данные:
• Поле «Гарантийный_срок_по_умолчанию» = 24 мес.
• Поле «Гарантийный_срок_проекта» — перезаписывается при редактировании</t>
  </si>
  <si>
    <t>Алгоритм установки значения:
ЕСЛИ Гарантийный_срок_проекта = пусто
ТО Гарантийный_срок_проекта = Гарантийный_срок_по_умолчанию (24)
ИНАЧЕ Сохранить_выбранное_значение
Алгоритм генерации прописи:
Пропись = Число_в_русской_прописи(Гарантийный_срок_проекта)</t>
  </si>
  <si>
    <t>• Гарантийный срок начинается с даты полной оплаты, а не с даты подписания акта — критически важно для расчёта периода действия гарантии в будущем
• Значение 24 месяца установлено по умолчанию согласно внутренним стандартам Орбиты для монтажных работ (окна ПВХ, фасады)
• Изменённое значение сохраняется в проекте и будет использоваться при формировании актов и претензий в будущем
• Для госзаказа система выводит предупреждение при выборе срока &lt;24 мес. (рекомендация 44-ФЗ), но не блокирует выбор</t>
  </si>
  <si>
    <t>Раздел «6. Гарантийные обязательства»
Подпункт 6.5 выделен</t>
  </si>
  <si>
    <t>Форма «6.5 Гарантия на материалы Заказчика»
Поле только для просмотра (фиксированный текст):
• «Гарантия на материалы, конструкции и изделия, предоставленные Заказчиком, не предоставляется и регулируется гарантийной документацией производителя или поставщика.»</t>
  </si>
  <si>
    <t>Предпросмотр п. 6.5
Текст договора с фиксированной формулировкой (серый фон)</t>
  </si>
  <si>
    <t>1. Просмотреть фиксированный текст подпункта 6.5</t>
  </si>
  <si>
    <t>1. Подпункт отображается серым цветом (только просмотр)
2. Система автоматически проверяет источник материалов из п. 1.4:
• Если источник = «Заказчиком» → статус «Валидно»
• Если источник ≠ «Заказчиком» → подсветка жёлтым + подсказка «Формулировка актуальна только при материалах от Заказчика (п. 1.4)»</t>
  </si>
  <si>
    <t>Справочники:
• Справочник источников материалов (из п. 1.4)
Системные данные:
• Флаг «Источник_материалов_Заказчик»</t>
  </si>
  <si>
    <t>Алгоритм валидации контекста:
ЕСЛИ Источник_материалов = "Заказчиком"
ТО Статус_6.5 = "Валидно"
ИНАЧЕ Статус_6.5 = "Потенциальное_несоответствие"</t>
  </si>
  <si>
    <t>• Формулировка 6.5 жёстко привязана к выбору источника материалов в п. 1.4 («Заказчиком»)
• При выборе других источников материалов («Подрядчиком») формулировка остаётся неизменной, но система выводит предупреждение о потенциальном юридическом противоречии
• На этапе MVP реализован только источник «Заказчиком», поэтому формулировка 6.5 всегда валидна</t>
  </si>
  <si>
    <t>Раздел «6. Гарантийные обязательства»
Подпункт 6.6 выделен</t>
  </si>
  <si>
    <t>Форма «6.6 Срок устранения дефектов»
Поле:
• Срок устранения дефектов: [10] (выпадающий список: 5 / 10 / 15 / 20 рабочих дней)</t>
  </si>
  <si>
    <t>Предпросмотр п. 6.6
Текст договора:
«...Подрядчик обязан устранить их за свой счёт в срок, указанный Заказчиком в письменном уведомлении, но не более [10] (десяти) рабочих дней.»</t>
  </si>
  <si>
    <t>1. Просмотреть значение по умолчанию: 10 рабочих дней
2. При необходимости выбрать другое значение из выпадающего списка (5 / 15 / 20 раб. дней)
3. Сохранить выбор</t>
  </si>
  <si>
    <t>1. Система устанавливает значение 10 рабочих дней по умолчанию при открытии формы
2. При выборе другого значения:
• Значение сохраняется в проекте КД (поле «Срок_устранения_дефектов_проекта»)
• Текст в нижней панели обновляется с прописью числа («десять» → «пятнадцать»)
3. Поле подсвечивается зелёным после сохранения</t>
  </si>
  <si>
    <t>Справочники:
• Справочник стандартных сроков устранения дефектов: 5, 10, 15, 20 раб. дней
Системные данные:
• Поле «Срок_устранения_по_умолчанию» = 10 раб. дней
• Поле «Срок_устранения_проекта» — перезаписывается при редактировании</t>
  </si>
  <si>
    <t>Алгоритм установки значения:
ЕСЛИ Срок_устранения_проекта = пусто
ТО Срок_устранения_проекта = Срок_устранения_по_умолчанию (10)
ИНАЧЕ Сохранить_выбранное_значение
Алгоритм генерации прописи:
Пропись = Число_в_русской_прописи(Срок_устранения_проекта)</t>
  </si>
  <si>
    <t>• Значение 10 рабочих дней установлено по умолчанию как баланс между операционной нагрузкой и требованиями заказчика
• Сокращение срока до 5 дней возможно для критически важных объектов (например, госзаказ с повышенными требованиями)
• Увеличение срока до 15–20 дней возможно для сложных дефектов, требующих заказа специальных комплектующих
• Изменённое значение сохраняется в проекте и будет использоваться при формировании претензий и актов в будущем</t>
  </si>
  <si>
    <t>Раздел «6. Гарантийные обязательства»
Подпункты 6.7–6.9 выделены группой</t>
  </si>
  <si>
    <t>Форма «6.7–6.9 Условия гарантии»
Поля только для просмотра (фиксированный текст):
• 6.7 — порядок экспертизы при отказе от подписания Акта дефектов
• 6.8 — право Заказчика устранить дефекты силами третьего подрядчика с возмещением затрат Подрядчиком
• 6.9 — условия действия гарантии (эксплуатация по правилам, отсутствие вмешательства, полная оплата)</t>
  </si>
  <si>
    <t>Предпросмотр п. 6.7–6.9
Текст договора с подсвеченными фиксированными формулировками (серый фон)</t>
  </si>
  <si>
    <t>1. Просмотреть фиксированный текст подпунктов 6.7–6.9
2. Обратить внимание на условие 6.9.в: «полная оплата всех принятых работ»</t>
  </si>
  <si>
    <t>1. Все три подпункта отображаются серым цветом (только просмотр)
2. Система выделяет жирным ключевое условие 6.9.в о полной оплате как критически важное для начала гарантийного срока (связь с п. 6.4)</t>
  </si>
  <si>
    <t>Справочники:
• Справочник правил эксплуатации светопрозрачных конструкций (для гиперссылки в 6.9.а)
Системные данные:
• Флаг «Полная_оплата_выполнена» (для будущего контроля в Планировщике)</t>
  </si>
  <si>
    <t>Алгоритм контроля начала гарантии (для будущего использования в Планировщике):
ЕСЛИ (Дата_полной_оплаты ≠ пусто) И (Гарантийный_срок_начался = нет)
ТО Дата_начала_гарантии = Дата_полной_оплаты
Дата_окончания_гарантии = Дата_начала_гарантии + Гарантийный_срок_проекта</t>
  </si>
  <si>
    <t>• Подпункты 6.7–6.9 содержат фиксированный текст без возможности редактирования — только просмотр
• Условие 6.9.в критически важно: гарантийный срок не начинается до полной оплаты, даже если работы приняты и подписаны акты — это защищает Подрядчика от претензий при неплатежах Заказчика
• Пункт 6.7 предусматривает механизм независимой экспертизы за счёт Подрядчика при спорных дефектах — это стандартная практика для минимизации судебных издержек</t>
  </si>
  <si>
    <t>Раздел «6. Гарантийные обязательства»
(автоматический переход)</t>
  </si>
  <si>
    <t>Системное действие:
Проверка 100% заполнения всех подпунктов 6.1–6.9</t>
  </si>
  <si>
    <t>Предпросмотр п. 6
Полностью заполненный текст пункта 6:
• Обязанности Подрядчика (6.1–6.3)
• Гарантийный срок [24] мес. (6.4)
• Отказ от гарантии на материалы Заказчика (6.5)
• Срок устранения дефектов [10] раб. дней (6.6)
• Условия гарантии (6.7–6.9)</t>
  </si>
  <si>
    <t>Автоматическое действие системы после 100% заполнения:
1. Система проверяет обязательные поля пункта 6:
• 6.4: гарантийный срок ≠ пусто
• 6.6: срок устранения дефектов ≠ пусто
2. При успешной валидации все подпункты подсвечиваются зелёным</t>
  </si>
  <si>
    <t>1. При успешной валидации:
• Все подпункты 6.1–6.9 подсвечиваются зелёным в левой панели
• Кнопка «Далее» активируется для перехода к Этапу А5 (п. 7 Ответственность сторон)
2. При неудачной валидации:
• Незаполненные поля 6.4 или 6.6 подсвечиваются красным с подсказкой «Обязательное поле»
• Кнопка «Далее» заблокирована</t>
  </si>
  <si>
    <t>Справочники:
• Справочник обязательных полей пункта 6: {6.4, 6.6}
Системные данные:
• Статус заполнения пункта 6 (0–100%)
• Флаг «Пункт_6_валиден» (да/нет)</t>
  </si>
  <si>
    <t>Алгоритм валидации пункта 6:
ЕСЛИ (6.4_заполнен = да) И (6.6_заполнен = да)
ТО Пункт_6_валиден = да
ИНАЧЕ Пункт_6_валиден = нет</t>
  </si>
  <si>
    <t>• Обязательными к заполнению являются только подпункты с переменными значениями (6.4 и 6.6); остальные — фиксированный текст
• Завершение пункта 6 разблокирует переход к следующему простому пункту договора (п. 7) в рамках Этапа А
• Все значения гарантийных сроков сохраняются в проекте КД и будут использоваться в будущем для:
— контроля даты окончания гарантии в Планировщике
— формирования претензий и актов при выявлении дефектов
— расчёта резерва гарантийных обязательств в финансовой модели</t>
  </si>
  <si>
    <t>А5</t>
  </si>
  <si>
    <t>Раздел «7. Ответственность сторон»
Подпункты 7.1–7.3.1 выделены группой</t>
  </si>
  <si>
    <t>Форма «7.1–7.3.1 Общие положения ответственности»
Поля только для просмотра (фиксированный текст):
• 7.1 — общая ответственность по законодательству РФ и договору
• 7.2 — обязанность устранить недостатки за свой счёт при ухудшении качества работ
• 7.3 — возмещение убытков вместо устранения дефектов (включая простой производства)
• 7.3.1 — условие доказанной вины Подрядчика и документального подтверждения убытков</t>
  </si>
  <si>
    <t>Предпросмотр п. 7.1–7.3.1
Текст договора с подсвеченными фиксированными формулировками (серый фон)</t>
  </si>
  <si>
    <t>1. Просмотреть фиксированный текст подпунктов 7.1–7.3.1
2. Убедиться в корректности ссылок на законодательство РФ</t>
  </si>
  <si>
    <t>1. Все подпункты отображаются серым цветом (только просмотр)
2. Система автоматически проверяет наличие обязательных ссылок на законодательство:
• ✅ Ссылки на ГК РФ присутствуют → статус «Валидно»
• ❌ Ссылки отсутствуют → подсветка жёлтым + подсказка «Проверьте корректность ссылок на законодательство»</t>
  </si>
  <si>
    <t>Справочники:
• Справочник нормативных актов РФ (ГК РФ, ст. 393, 395)
Системные данные:
• Флаг «Ссылки_на_законодательство_валидны»</t>
  </si>
  <si>
    <t>Алгоритм валидации ссылок:
ЕСЛИ Текст_7.1_содержит("действующее законодательство Российской Федерации") И Текст_7.3.1_содержит("документально")
ТО Статус_7.1_7.3.1 = "Валидно"
ИНАЧЕ Статус_7.1_7.3.1 = "Требуется_проверка"</t>
  </si>
  <si>
    <t>• Подпункты 7.1–7.3.1 содержат фиксированный текст без возможности редактирования — только просмотр и валидация ссылок на законодательство
• Формулировка 7.3.1 критически важна: требует доказанной вины Подрядчика и документального подтверждения убытков — это защищает Подрядчика от необоснованных претензий</t>
  </si>
  <si>
    <t>Раздел «7. Ответственность сторон»
Подпункт 7.4 выделен</t>
  </si>
  <si>
    <t>Форма «7.4 Пеня Подрядчика за просрочку»
Поля:
• Размер пени: [0,1] % от стоимости этапа за каждый день просрочки (выпадающий список: 0,05 / 0,1 / 0,15 / 0,2)
• Лимит пени: [10] % от общей стоимости договора (выпадающий список: 5 / 10 / 15 / 20)</t>
  </si>
  <si>
    <t>Предпросмотр п. 7.4
Текст договора:
«...Подрядчик уплачивает Заказчику пеню в размере [0,1]% от стоимости соответствующего этапа Работ за каждый день просрочки, но не более [10]% от общей стоимости Договора.»</t>
  </si>
  <si>
    <t>1. Просмотреть значения по умолчанию: 0,1% и 10%
2. При необходимости выбрать другие значения из выпадающих списков
3. Сохранить выбор</t>
  </si>
  <si>
    <t>1. Система устанавливает значения 0,1% и 10% по умолчанию при открытии формы
2. При выборе других значений:
• Значения сохраняются в проекте КД (поля «Пеня_Подрядчика_ставка», «Пеня_Подрядчика_лимит»)
• Текст в нижней панели обновляется с новыми значениями
3. Поля подсвечиваются зелёным после сохранения</t>
  </si>
  <si>
    <t>Справочники:
• Справочник стандартных ставок пени: 0,05%, 0,1%, 0,15%, 0,2%
• Справочник лимитов пени: 5%, 10%, 15%, 20%
Системные данные:
• Поле «Пеня_Подрядчика_ставка_по_умолчанию» = 0,1%
• Поле «Пеня_Подрядчика_лимит_по_умолчанию» = 10%
• Поле «Стоимость_этапа» — из ГПР (Приложение №3)
• Поле «Общая_стоимость_договора» — из Сметы (Приложение №1)</t>
  </si>
  <si>
    <t>Алгоритм расчёта пени Подрядчика:
Пеня_день = Стоимость_этапа × (Пеня_ставка / 100)
Пеня_итого = Пеня_день × Количество_дней_просрочки
ЕСЛИ Пеня_итого &gt; (Общая_стоимость × (Пеня_лимит / 100))
ТО Пеня_к_уплате = Общая_стоимость × (Пеня_лимит / 100)
ИНАЧЕ Пеня_к_уплате = Пеня_итого
Валидация для госзаказа:
ЕСЛИ Тип_клиента = "Госзаказ" И Пеня_ставка &lt; 1/300_ставки_рефинансирования
ТО Предупреждение("Ставка пени ниже минимальной по 44-ФЗ")</t>
  </si>
  <si>
    <t>• Ставка 0,1% и лимит 10% установлены по умолчанию как баланс между рыночной практикой и защитой интересов Заказчика
• Пеня рассчитывается от стоимости этапа (не от общей стоимости) — критически важно для связи с ГПР (Приложение №3)
• Для госзаказа минимальная ставка пени по 44-ФЗ = 1/300 ставки рефинансирования ЦБ РФ (~0,033%); ставка 0,1% соответствует требованиям и является более жёсткой в пользу Заказчика (допустимо по закону)
• Изменённые значения сохраняются в проекте и будут использоваться при расчёте пени в Планировщике при отклонении от сроков ГПР</t>
  </si>
  <si>
    <t>Раздел «7. Ответственность сторон»
Подпункт 7.5 выделен</t>
  </si>
  <si>
    <t>Форма «7.5 Пеня Заказчика за просрочку оплаты»
Поля:
• Размер пени: [0,1] % от стоимости принятых, но неоплаченных работ за каждый день просрочки (выпадающий список: 0,05 / 0,1 / 0,15 / 0,2)
• Лимит пени: [10] % от общей стоимости договора (выпадающий список: 5 / 10 / 15 / 20)
• Исключение: аванс (фиксированный текст, серый фон)</t>
  </si>
  <si>
    <t>Предпросмотр п. 7.5
Текст договора:
«...Заказчик уплачивает Подрядчику пеню в размере [0,1]% от стоимости принятых, но неоплаченных Работ за каждый день просрочки, но не более [10]% от общей стоимости Договора.»</t>
  </si>
  <si>
    <t>1. Система устанавливает значения 0,1% и 10% по умолчанию при открытии формы (зеркально 7.4)
2. При выборе других значений:
• Значения сохраняются в проекте КД (поля «Пеня_Заказчика_ставка», «Пеня_Заказчика_лимит»)
• Текст в нижней панели обновляется с новыми значениями
3. Поле «Исключение: аванс» отображается серым цветом (фиксированный текст)</t>
  </si>
  <si>
    <t>Справочники:
• Справочник стандартных ставок пени (аналогично 7.4)
• Справочник лимитов пени (аналогично 7.4)
Системные данные:
• Поле «Пеня_Заказчика_ставка_по_умолчанию» = 0,1%
• Поле «Пеня_Заказчика_лимит_по_умолчанию» = 10%
• Поле «Стоимость_принятых_работ» — из актов приёмки (будущее использование в Планировщике)
• Поле «Общая_стоимость_договора» — из Сметы (Приложение №1)</t>
  </si>
  <si>
    <t>Алгоритм расчёта пени Заказчика:
Пеня_день = Стоимость_принятых_неоплаченных × (Пеня_ставка / 100)
Пеня_итого = Пеня_день × Количество_дней_просрочки_оплаты
ЕСЛИ Пеня_итого &gt; (Общая_стоимость × (Пеня_лимит / 100))
ТО Пеня_к_уплате = Общая_стоимость × (Пеня_лимит / 100)
ИНАЧЕ Пеня_к_уплате = Пеня_итого
Исключение аванса:
Пеня_на_аванс = 0 (фиксированное правило)</t>
  </si>
  <si>
    <t>• Ставка 0,1% и лимит 10% установлены зеркально п. 7.4 для баланса взаимных обязательств сторон
• Пеня рассчитывается от стоимости принятых, но неоплаченных работ — критически важно для связи с актами приёмки в будущем
• Аванс исключён из расчёта пени — стандартная практика для защиты Подрядчика от претензий при задержке аванса Заказчиком (п. 2.1)
• Изменённые значения сохраняются в проекте и будут использоваться при расчёте пени в Планировщике при отклонении от сроков оплаты</t>
  </si>
  <si>
    <t>Раздел «7. Ответственность сторон»
Подпункты 7.6–7.11.3 выделены группой</t>
  </si>
  <si>
    <t>Форма «7.6–7.11.3 Условия ответственности»
Поля только для просмотра (фиксированный текст):
• 7.6 — переход риска при подписании Акта (до Акта — Подрядчик, после — Заказчик)
• 7.7 — право удержания неустойки из оплаты с уведомлением
• 7.8 — лимит неустойки = цена договора (фиксированный текст)
• 7.9 — освобождение от неустойки (форс-мажор, вина третьей стороны)
• 7.10 — неустойка не освобождает от исполнения обязательства
• 7.11 — гарантии по уплате налогов и отчётности
• 7.11.1–7.11.3 — возмещение НДС при отказе вычета (30 дней на исполнение)</t>
  </si>
  <si>
    <t>Предпросмотр п. 7.6–7.11.3
Текст договора с подсвеченными фиксированными формулировками (серый фон)</t>
  </si>
  <si>
    <t>1. Просмотреть фиксированный текст подпунктов 7.6–7.11.3
2. Обратить внимание на критические условия:
• 7.6 — момент перехода риска (подписание Акта)
• 7.11.1–7.11.3 — механизм возмещения НДС при отказе вычета</t>
  </si>
  <si>
    <t>1. Все подпункты отображаются серым цветом (только просмотр)
2. Система выделяет жирным ключевые условия:
• 7.6: «После подписания Акта (включая промежуточные акты) риск переходит на Заказчика»
• 7.11.3: «30 календарных дней с даты получения требования»</t>
  </si>
  <si>
    <t>Справочники:
• Справочник обстоятельств непреодолимой силы (форс-мажор)
• Справочник статей ГК РФ (ст. 401, 406.1)
Системные данные:
• Флаг «Акт_подписан» (для будущего контроля в Планировщике)
• Флаг «СНО_Подрядчика_ОСНО» (для активации 7.11.1–7.11.3)</t>
  </si>
  <si>
    <t>Алгоритм контроля перехода риска (для будущего использования):
ЕСЛИ Акт_подписан = да
ТО Риск_перешёл_на_Заказчика = да
ИНАЧЕ Риск_несёт_Подрядчик = да
Алгоритм активации 7.11.1–7.11.3:
ЕСЛИ СНО_Подрядчика = "ОСНО" И Применяет_НДС = да
ТО Условия_НДС_активны = да
ИНАЧЕ Условия_НДС_активны = нет (серый фон с подсказкой)</t>
  </si>
  <si>
    <t>• Подпункты 7.6–7.11.3 содержат фиксированный текст без возможности редактирования — только просмотр
• Условие 7.6 критически важно: риск случайной гибели/повреждения переходит на Заказчика только после подписания Акта — это защищает Подрядчика до момента приёмки работ
• Условия 7.11.1–7.11.3 актуальны только при СНО ОСНО с НДС — для УСН/ЕНВД/самозанятых система выводит подсказку «Условия НДС не применяются при выбранной системе налогообложения»
• Срок 30 календарных дней в 7.11.3 — фиксированное требование ст. 406.1 ГК РФ, не подлежит изменению</t>
  </si>
  <si>
    <t>Раздел «7. Ответственность сторон»
(автоматический переход)</t>
  </si>
  <si>
    <t>Системное действие:
Проверка 100% заполнения всех подпунктов 7.1–7.11.3</t>
  </si>
  <si>
    <t>Предпросмотр п. 7
Полностью заполненный текст пункта 7:
• Общие положения (7.1–7.3.1)
• Пеня Подрядчика [0,1%], лимит [10%] (7.4)
• Пеня Заказчика [0,1%], лимит [10%] (7.5)
• Условия ответственности (7.6–7.11.3)</t>
  </si>
  <si>
    <t>Автоматическое действие системы после 100% заполнения:
1. Система проверяет обязательные поля пункта 7:
• 7.4: ставка пени ≠ пусто, лимит ≠ пусто
• 7.5: ставка пени ≠ пусто, лимит ≠ пусто</t>
  </si>
  <si>
    <t>1. При успешной валидации:
• Все подпункты 7.1–7.11.3 подсвечиваются зелёным в левой панели
• Кнопка «Далее» активируется для перехода к Этапу А6 (п. 8–11 Прочие разделы)
2. При неудачной валидации:
• Незаполненные поля 7.4 или 7.5 подсвечиваются красным с подсказкой «Обязательное поле»
• Кнопка «Далее» заблокирована</t>
  </si>
  <si>
    <t>Справочники:
• Справочник обязательных полей пункта 7: {7.4.ставка, 7.4.лимит, 7.5.ставка, 7.5.лимит}
Системные данные:
• Статус заполнения пункта 7 (0–100%)
• Флаг «Пункт_7_валиден» (да/нет)</t>
  </si>
  <si>
    <t>Алгоритм валидации пункта 7:
ЕСЛИ (7.4_ставка ≠ пусто) И (7.4_лимит ≠ пусто) И (7.5_ставка ≠ пусто) И (7.5_лимит ≠ пусто)
ТО Пункт_7_валиден = да
ИНАЧЕ Пункт_7_валиден = нет</t>
  </si>
  <si>
    <t>• Обязательными к заполнению являются только подпункты с переменными значениями (7.4 и 7.5); остальные — фиксированный текст
• Завершение пункта 7 разблокирует переход к следующим простым пунктам договора (п. 8–11) в рамках Этапа А
• Все значения пени сохраняются в проекте КД и будут использоваться в будущем для:
— автоматического расчёта пени в Планировщике при отклонении от сроков ГПР (7.4)
— автоматического расчёта пени при задержке оплаты (7.5)
— формирования претензий и уведомлений о начислении неустойки</t>
  </si>
  <si>
    <t>А7</t>
  </si>
  <si>
    <t>Раздел «8. Внесение изменений, дополнений и расторжение Договора»
Подпункты 8.1–8.3 выделены группой</t>
  </si>
  <si>
    <t>Форма «8.1–8.3 Изменения и основания расторжения»
Поля только для просмотра (фиксированный текст):
• 8.1 — изменения оформляются письменными дополнительными соглашениями
• 8.2 — замена материалов на улучшенные без увеличения стоимости (без доп. соглашения)
• 8.3 — основания расторжения (соглашение сторон, суд, односторонний отказ по ГК РФ)</t>
  </si>
  <si>
    <t>Предпросмотр п. 8.1–8.3
Текст договора с подсвеченными фиксированными формулировками (серый фон)</t>
  </si>
  <si>
    <t>1. Просмотреть фиксированный текст подпунктов 8.1–8.3
2. Убедиться в корректности ссылок на ГК РФ</t>
  </si>
  <si>
    <t>1. Все подпункты отображаются серым цветом (только просмотр)
2. Система автоматически проверяет наличие ссылок на ГК РФ в 8.3:
• ✅ Ссылка на ГК РФ присутствует → статус «Валидно»
• ❌ Ссылка отсутствует → подсветка жёлтым + подсказка «Добавьте ссылку на ГК РФ»</t>
  </si>
  <si>
    <t>Справочники:
• Справочник статей ГК РФ (ст. 450, 717, 745)
Системные данные:
• Флаг «Ссылка_ГК_РФ_присутствует»</t>
  </si>
  <si>
    <t>Алгоритм валидации ссылок:
ЕСЛИ Текст_8.3_содержит("Гражданский кодекс Российской Федерации")
ТО Статус_8.1_8.3 = "Валидно"
ИНАЧЕ Статус_8.1_8.3 = "Требуется_добавление_ссылки"</t>
  </si>
  <si>
    <t>• Подпункты 8.1–8.3 содержат фиксированный текст без возможности редактирования — только просмотр и валидация ссылок на законодательство
• Формулировка 8.2 критически важна: замена на улучшенные материалы не требует доп. соглашения и не увеличивает стоимость — это даёт операционную гибкость Подрядчику при работе с материалами</t>
  </si>
  <si>
    <t>Раздел «8. Внесение изменений, дополнений и расторжение Договора»
Подпункт 8.4 выделен</t>
  </si>
  <si>
    <t>Форма «8.4 Срок уведомления об отказе Заказчика»
Поле:
• Срок уведомления: [5] (выпадающий список: 3 / 5 / 7 / 10 календарных дней)
• Тип дня: ☑ календарные дни (фиксировано, серый фон)</t>
  </si>
  <si>
    <t>Предпросмотр п. 8.4
Текст договора:
«...уведомив об этом Подрядчика в письменной форме с указанием причин не менее чем за [5] (пять) календарных дней до предполагаемой даты расторжения.»</t>
  </si>
  <si>
    <t>1. Просмотреть значение по умолчанию: 5 календарных дней
2. При необходимости выбрать другое значение из выпадающего списка (3 / 7 / 10 кал. дней)
3. Сохранить выбор</t>
  </si>
  <si>
    <t>1. Система устанавливает значение 5 календарных дней по умолчанию при открытии формы
2. При выборе другого значения:
• Значение сохраняется в проекте КД (поле «Срок_уведомления_расторжения»)
• Текст в нижней панели обновляется с прописью числа («пять» → «семь»)
3. Поле подсвечивается зелёным после сохранения</t>
  </si>
  <si>
    <t>Справочники:
• Справочник стандартных сроков уведомления: 3, 5, 7, 10 календарных дней
Системные данные:
• Поле «Срок_уведомления_по_умолчанию» = 5 кал. дней
• Поле «Срок_уведомления_проекта» — перезаписывается при редактировании</t>
  </si>
  <si>
    <t>Алгоритм установки значения:
ЕСЛИ Срок_уведомления_проекта = пусто
ТО Срок_уведомления_проекта = Срок_уведомления_по_умолчанию (5)
ИНАЧЕ Сохранить_выбранное_значение
Алгоритм генерации прописи:
Пропись = Число_в_русской_прописи(Срок_уведомления_проекта)
Валидация для госзаказа:
ЕСЛИ Тип_клиента = "Госзаказ" И Срок_уведомления &lt; 5
ТО Блокировка_выбора = да, Подсказка("Минимум 5 календарных дней по 44-ФЗ")</t>
  </si>
  <si>
    <t>• Срок 5 календарных дней установлен по умолчанию как минимальный по 44-ФЗ для госзаказа и рыночный стандарт для коммерческих договоров
• Календарные дни (не рабочие) — критически важно для расчёта сроков в будущем (например: уведомление 1 марта → расторжение не ранее 6 марта)
• Для госзаказа система блокирует выбор значений &lt;5 кал. дней с предупреждением о нарушении 44-ФЗ
• Изменённое значение сохраняется в проекте и будет использоваться при расчёте сроков в Планировщике при получении уведомления об отказе</t>
  </si>
  <si>
    <t>Раздел «8. Внесение изменений, дополнений и расторжение Договора»
Подпункты 8.4.1–8.4.2 выделены группой</t>
  </si>
  <si>
    <t>Форма «8.4.1–8.4.2 Обязанности сторон при отказе»
Поля:
• 8.4.1 — фиксированный текст (оплата по Актам КС-2/КС-3, приёмка работ)
• 8.4.2 — срок возврата сумм: [5] (выпадающий список: 3 / 5 / 7 / 10 рабочих дней)
• Тип дня: ☑ рабочие дни (фиксировано, серый фон)</t>
  </si>
  <si>
    <t>Предпросмотр п. 8.4.1–8.4.2
Текст договора:
«...Подрядчик, в свою очередь, обязан в течение [5] (пяти) рабочих дней с даты расторжения Договора вернуть Заказчику все суммы, полученные в счёт невыполненных Работ.»</t>
  </si>
  <si>
    <t>1. Просмотреть фиксированный текст 8.4.1
2. Просмотреть значение по умолчанию для 8.4.2: 5 рабочих дней
3. При необходимости выбрать другое значение из выпадающего списка (3 / 7 / 10 раб. дней)
4. Сохранить выбор</t>
  </si>
  <si>
    <t>1. Система устанавливает значение 5 рабочих дней по умолчанию при открытии формы для 8.4.2
2. При выборе другого значения:
• Значение сохраняется в проекте КД (поле «Срок_возврата_сумм»)
• Текст в нижней панели обновляется с прописью числа («пять» → «семь»)
3. Поле 8.4.2 подсвечивается зелёным после сохранения</t>
  </si>
  <si>
    <t>Справочники:
• Справочник стандартных сроков возврата: 3, 5, 7, 10 рабочих дней
• Справочник форм актов: КС-2, КС-3, М-29
Системные данные:
• Поле «Срок_возврата_по_умолчанию» = 5 раб. дней
• Поле «Срок_возврата_проекта» — перезаписывается при редактировании</t>
  </si>
  <si>
    <t>Алгоритм установки значения:
ЕСЛИ Срок_возврата_проекта = пусто
ТО Срок_возврата_проекта = Срок_возврата_по_умолчанию (5)
ИНАЧЕ Сохранить_выбранное_значение
Алгоритм расчёта срока возврата (для будущего использования):
Дата_возврата = Дата_расторжения + Срок_возврата_проекта (рабочие дни)
ЕСЛИ Дата_возврата попадает на выходной/праздник
ТО Дата_возврата = ближайший рабочий день</t>
  </si>
  <si>
    <t>• Срок 5 рабочих дней установлен по умолчанию как разумный баланс между операционной нагрузкой и требованиями заказчика
• Рабочие дни (не календарные) — критически важно для расчёта сроков в будущем (например: расторжение в пятницу → возврат не позднее следующей пятницы)
• Формулировка 8.4.1 жёстко привязана к Актам КС-2/КС-3 — это стандартные формы для строительных работ; система проверяет, что эти формы указаны в договоре
• Изменённое значение сохраняется в проекте и будет использоваться при расчёте сроков в Планировщике при расторжении договора</t>
  </si>
  <si>
    <t>Раздел «8. Внесение изменений, дополнений и расторжение Договора»
Подпункт 8.5 выделен</t>
  </si>
  <si>
    <t>Форма «8.5 Последствия расторжения»
Поле только для просмотра (фиксированный текст):
• «Расторжение Договора не освобождает Стороны от обязанности исполнить обязательства, возникшие до даты расторжения, а также от ответственности за их нарушение.»</t>
  </si>
  <si>
    <t>Предпросмотр п. 8.5
Текст договора с фиксированной формулировкой (серый фон)</t>
  </si>
  <si>
    <t>1. Просмотреть фиксированный текст подпункта 8.5</t>
  </si>
  <si>
    <t>1. Подпункт отображается серым цветом (только просмотр)
2. Система автоматически проверяет наличие ключевой формулировки об ответственности после расторжения</t>
  </si>
  <si>
    <t>Справочники:
• Справочник статей ГК РФ (ст. 453)
Системные данные:
• Флаг «Формулировка_ответственности_после_расторжения_присутствует»</t>
  </si>
  <si>
    <t>Алгоритм валидации формулировки:
ЕСЛИ Текст_8.5_содержит("не освобождает") И Текст_8.5_содержит("ответственности за их нарушение")
ТО Статус_8.5 = "Валидно"
ИНАЧЕ Статус_8.5 = "Требуется_корректировка"</t>
  </si>
  <si>
    <t>• Формулировка 8.5 критически важна: расторжение не снимает ответственность за нарушения, совершённые до даты расторжения — это защищает обе стороны от ухода от обязательств через расторжение договора
• Фиксированный текст не подлежит редактированию — только просмотр и валидация</t>
  </si>
  <si>
    <t>Раздел «8. Внесение изменений, дополнений и расторжение Договора»
(автоматический переход)</t>
  </si>
  <si>
    <t>Системное действие:
Проверка 100% заполнения всех подпунктов 8.1–8.5</t>
  </si>
  <si>
    <t>Предпросмотр п. 8
Полностью заполненный текст пункта 8:
• Изменения и основания расторжения (8.1–8.3)
• Срок уведомления [5] кал. дней (8.4)
• Обязанности сторон при отказе (8.4.1–8.4.2)
• Последствия расторжения (8.5)</t>
  </si>
  <si>
    <t>Автоматическое действие системы после 100% заполнения:
1. Система проверяет обязательные поля пункта 8:
• 8.4: срок уведомления ≠ пусто
• 8.4.2: срок возврата ≠ пусто</t>
  </si>
  <si>
    <t>1. При успешной валидации:
• Все подпункты 8.1–8.5 подсвечиваются зелёным в левой панели
• Кнопка «Далее» активируется для перехода к Этапу А7 (п. 9 Споры)
2. При неудачной валидации:
• Незаполненные поля 8.4 или 8.4.2 подсвечиваются красным с подсказкой «Обязательное поле»
• Кнопка «Далее» заблокирована</t>
  </si>
  <si>
    <t>Справочники:
• Справочник обязательных полей пункта 8: {8.4, 8.4.2}
Системные данные:
• Статус заполнения пункта 8 (0–100%)
• Флаг «Пункт_8_валиден» (да/нет)</t>
  </si>
  <si>
    <t>Алгоритм валидации пункта 8:
ЕСЛИ (8.4_заполнен = да) И (8.4.2_заполнен = да)
ТО Пункт_8_валиден = да
ИНАЧЕ Пункт_8_валиден = нет</t>
  </si>
  <si>
    <t>• Обязательными к заполнению являются только подпункты с переменными значениями (8.4 и 8.4.2); остальные — фиксированный текст
• Критическое различие: 8.4 — календарные дни, 8.4.2 — рабочие дни — система визуально выделяет это различие цветом (синий/зелёный) для предотвращения ошибок при расчёте сроков в будущем
• Для госзаказа система автоматически блокирует выбор значений &lt;5 кал. дней в 8.4 с предупреждением о нарушении 44-ФЗ</t>
  </si>
  <si>
    <t>Раздел «9. Порядок урегулирования споров»
Подпункт 9.1 выделен</t>
  </si>
  <si>
    <t>Форма «9.1 Добровольные переговоры»
Поле только для просмотра (фиксированный текст):
• «Стороны будут разрешать возникшие в ходе исполнения настоящего Договора споры путём добровольных переговоров.»</t>
  </si>
  <si>
    <t>Предпросмотр п. 9.1
Текст договора с фиксированной формулировкой (серый фон)</t>
  </si>
  <si>
    <t>1. Просмотреть фиксированный текст подпункта 9.1</t>
  </si>
  <si>
    <t>1. Подпункт отображается серым цветом (только просмотр)
2. Система автоматически проверяет наличие ключевой формулировки о добровольных переговорах</t>
  </si>
  <si>
    <t>Справочники:
• Справочник статей ГК РФ (ст. 446)
Системные данные:
• Флаг «Формулировка_переговоров_присутствует»</t>
  </si>
  <si>
    <t>Алгоритм валидации формулировки:
ЕСЛИ Текст_9.1_содержит("добровольных переговоров")
ТО Статус_9.1 = "Валидно"
ИНАЧЕ Статус_9.1 = "Требуется_корректировка"</t>
  </si>
  <si>
    <t>• Формулировка 9.1 устанавливает обязательный досудебный порядок урегулирования споров — это стандартная практика для минимизации судебных издержек
• Фиксированный текст не подлежит редактированию — только просмотр и валидация</t>
  </si>
  <si>
    <t>Раздел «9. Порядок урегулирования споров»
Подпункт 9.2 выделен</t>
  </si>
  <si>
    <t>Форма «9.2 Судебное урегулирование»
Поля:
• Фиксированный текст: «...в Арбитражном суде по месту нахождения Истца...»
• Системная проверка: наличие юридических адресов сторон из преамбулы</t>
  </si>
  <si>
    <t>Предпросмотр п. 9.2
Текст договора с подсвеченной формулировкой «по месту нахождения Истца» (синий цвет)
Под текстом — статус проверки адресов:
• ✅ Юрадреса Подрядчика и Заказчика заполнены</t>
  </si>
  <si>
    <t>1. Просмотреть фиксированный текст подпункта 9.2
2. Проверить статус валидации юридических адресов в нижней панели</t>
  </si>
  <si>
    <t>1. Подпункт отображается серым цветом (только просмотр текста)
2. Система автоматически проверяет наличие юридических адресов сторон:
• ✅ Оба адреса заполнены → статус «Валидно», подсветка зелёным
• ❌ Один или оба адреса отсутствуют → статус «Ошибка», подсветка красным + подсказка «Заполните юридические адреса в преамбуле»</t>
  </si>
  <si>
    <t>Справочники:
• Справочник арбитражных судов РФ (для гиперссылки в интерфейсе)
Системные данные:
• Поле «Юрадрес_Подрядчика» (из преамбулы)
• Поле «Юрадрес_Заказчика» (из преамбулы)
• Флаг «Юрадреса_валидны»</t>
  </si>
  <si>
    <t>Алгоритм валидации адресов:
ЕСЛИ (Юрадрес_Подрядчика ≠ пусто) И (Юрадрес_Заказчика ≠ пусто)
ТО Юрадреса_валидны = да
ИНАЧЕ Юрадреса_валидны = нет
Правило блокировки перехода:
ЕСЛИ Юрадреса_валидны = нет
ТО Кнопка_«Далее» = заблокирована</t>
  </si>
  <si>
    <t>• Формулировка «по месту нахождения Истца» критически важна: даёт право выбора юрисдикции любой стороне — это балансирует интересы (обычно в договорах указывается место нахождения Ответчика, что выгодно Подрядчику; здесь же выбор за Истцом)
• Отсутствие юридического адреса у любой стороны делает формулировку 9.2 неисполнимой — поэтому система блокирует переход до заполнения адресов в преамбуле (Этап А2)
• Для физлиц (не ИП) система автоматически заменяет «Арбитражный суд» → «Суд общей юрисдикции» с сохранением формулировки «по месту нахождения Истца»</t>
  </si>
  <si>
    <t>Раздел «9. Порядок урегулирования споров»
Подпункт 9.3 выделен</t>
  </si>
  <si>
    <t>Форма «9.3 Независимая экспертиза»
Поля только для просмотра (фиксированный текст):
• Условия назначения экспертизы при спорах о недостатках работ
• Распределение расходов:
— базово несёт Подрядчик,
— возмещается инициатору при отсутствии нарушений Подрядчика или отсутствии причинной связи</t>
  </si>
  <si>
    <t>Предпросмотр п. 9.3
Текст договора с подсвеченными условиями распределения расходов (жёлтый фон для ключевых условий а/б)</t>
  </si>
  <si>
    <t>1. Просмотреть фиксированный текст подпункта 9.3
2. Обратить внимание на условия освобождения Подрядчика от расходов (п. 9.3 а/б)</t>
  </si>
  <si>
    <t>1. Подпункт отображается серым цветом (только просмотр)
2. Система автоматически проверяет наличие ключевых условий:
• ✅ Условия 9.3.а и 9.3.б присутствуют → статус «Валидно»
• ❌ Одно из условий отсутствует → подсветка красным + подсказка «Добавьте условия освобождения от расходов»</t>
  </si>
  <si>
    <t>Справочники:
• Справочник статей ГК РФ (ст. 723, 753)
Системные данные:
• Флаг «Условия_освобождения_присутствуют»</t>
  </si>
  <si>
    <t>Алгоритм валидации условий:
ЕСЛИ Текст_9.3_содержит("отсутствие нарушений") И Текст_9.3_содержит("отсутствие причинной связи")
ТО Условия_освобождения_присутствуют = да
ИНАЧЕ Условия_освобождения_присутствуют = нет</t>
  </si>
  <si>
    <t>• Формулировка 9.3 критически важна для защиты Подрядчика: расходы на экспертизу возмещаются инициатору, если экспертиза подтвердит отсутствие вины Подрядчика — это предотвращает злоупотребления со стороны Заказчика
• Условия 9.3.а и 9.3.б должны быть чётко прописаны — их отсутствие создаёт юридический риск для Подрядчика
• Фиксированный текст не подлежит редактированию — только просмотр и валидация</t>
  </si>
  <si>
    <t>Раздел «9. Порядок урегулирования споров»
(автоматический переход)</t>
  </si>
  <si>
    <t>Системное действие:
Проверка 100% заполнения всех подпунктов 9.1–9.3</t>
  </si>
  <si>
    <t>Предпросмотр п. 9
Полностью заполненный текст пункта 9:
• Добровольные переговоры (9.1)
• Арбитражный суд по месту Истца (9.2)
• Независимая экспертиза (9.3)</t>
  </si>
  <si>
    <t>Автоматическое действие системы после 100% заполнения:
1. Система проверяет обязательные условия пункта 9:
• 9.1: формулировка о переговорах валидна
• 9.2: юридические адреса сторон заполнены
• 9.3: условия освобождения от расходов валидны</t>
  </si>
  <si>
    <t>1. При успешной валидации:
• Все подпункты 9.1–9.3 подсвечиваются зелёным в левой панели
• Кнопка «Далее» активируется для перехода к Этапу А8 (п. 10 Форс-мажор)
2. При неудачной валидации:
• Невыполненные условия подсвечиваются красным с подсказкой «Требуется корректировка»
• Кнопка «Далее» заблокирована</t>
  </si>
  <si>
    <t>Справочники:
• Справочник обязательных условий пункта 9: {9.1.формулировка, 9.2.юрадреса, 9.3.условия_освобождения}
Системные данные:
• Статус заполнения пункта 9 (0–100%)
• Флаг «Пункт_9_валиден» (да/нет)</t>
  </si>
  <si>
    <t>Алгоритм валидации пункта 9:
ЕСЛИ (9.1_валиден = да) И (9.2_валиден = да) И (9.3_валиден = да)
ТО Пункт_9_валиден = да
ИНАЧЕ Пункт_9_валиден = нет</t>
  </si>
  <si>
    <t>• Пункт 9 не содержит полей для редактирования численных значений — валидация сводится к проверке корректности формулировок и наличия связанных данных (юрадреса)
• Завершение пункта 9 разблокирует переход к следующим простым пунктам договора (п. 10–11) в рамках Этапа А
• Для физлиц-Заказчиков система автоматически заменяет «Арбитражный суд» → «Суд общей юрисдикции» с сохранением формулировки «по месту нахождения Истца» — это происходит при экспорте договора, а не в интерфейсе КД</t>
  </si>
  <si>
    <t>А8</t>
  </si>
  <si>
    <t>Раздел «10. Обстоятельства непреодолимой силы»
Подпункт 10.1 выделен</t>
  </si>
  <si>
    <t>Форма «10.1 Освобождение от ответственности»
Поле только для просмотра (фиксированный текст):
• «Стороны освобождаются от ответственности за полное или частичное неисполнение своих обязательств по Договору, если такое неисполнение явилось следствием обстоятельств непреодолимой силы.»</t>
  </si>
  <si>
    <t>Предпросмотр п. 10.1
Текст договора с фиксированной формулировкой (серый фон)</t>
  </si>
  <si>
    <t>1. Просмотреть фиксированный текст подпункта 10.1</t>
  </si>
  <si>
    <t>1. Подпункт отображается серым цветом (только просмотр)
2. Система автоматически проверяет наличие ключевой формулировки об освобождении от ответственности</t>
  </si>
  <si>
    <t>Справочники:
• Справочник статей ГК РФ (ст. 401)
Системные данные:
• Флаг «Формулировка_освобождения_присутствует»</t>
  </si>
  <si>
    <t>Алгоритм валидации формулировки:
ЕСЛИ Текст_10.1_содержит("освобождаются от ответственности") И Текст_10.1_содержит("обстоятельств непреодолимой силы")
ТО Статус_10.1 = "Валидно"
ИНАЧЕ Статус_10.1 = "Требуется_корректировка"</t>
  </si>
  <si>
    <t>• Формулировка 10.1 устанавливает базовый принцип освобождения от ответственности при форс-мажоре — это прямая отсылка к ст. 401 ГК РФ
• Фиксированный текст не подлежит редактированию — только просмотр и валидация</t>
  </si>
  <si>
    <t>Раздел «10. Обстоятельства непреодолимой силы»
Подпункт 10.2 выделен</t>
  </si>
  <si>
    <t>Форма «10.2 Определение и перечень форс-мажора»
Поля только для просмотра (фиксированный текст):
• Определение: «чрезвычайные и непредотвратимые при данных условиях события...»
• Перечень событий (а-г2):
а) стихийные бедствия (пожар, наводнение, землетрясение)
б) военные действия, террористические акты
в) решения госорганов, запрещающие/ограничивающие работы
г) иные аналогичные события с условиями г1/г2</t>
  </si>
  <si>
    <t>Предпросмотр п. 10.2
Текст договора с подсвеченным перечнем событий (жёлтый фон для подпунктов а-г)
Под текстом — статус проверки полноты перечня</t>
  </si>
  <si>
    <t>1. Просмотреть фиксированный текст подпункта 10.2
2. Обратить внимание на критически важный подпункт 10.2.в (решения госорганов)</t>
  </si>
  <si>
    <t>1. Подпункт отображается серым цветом (только просмотр)
2. Система автоматически проверяет наличие всех элементов перечня:
• ✅ Все подпункты а-г2 присутствуют → статус «Валидно»
• ❌ Отсутствует хотя бы один элемент → подсветка красным + подсказка «Добавьте недостающий элемент перечня»</t>
  </si>
  <si>
    <t>Справочники:
• Справочник обстоятельств непреодолимой силы (ст. 401 ГК РФ, Постановление Пленума ВС №7/2016)
• Справочник уполномоченных органов: МЧС, ТПП, Роспотребнадзор, Ростехнадзор</t>
  </si>
  <si>
    <t>Алгоритм валидации перечня:
ЕСЛИ (Текст_содержит("стихийные бедствия")) И (Текст_содержит("военные действия")) И (Текст_содержит("решения государственных органов")) И (Текст_содержит("официальные документы"))
ТО Перечень_полный = да
ИНАЧЕ Перечень_полный = нет</t>
  </si>
  <si>
    <t>• Подпункт 10.2.в (решения госорганов) критически важен для строительных работ: приостановка разрешений на строительство, запреты на въезд спецтехники, санитарные ограничения — всё это относится к форс-мажору и освобождает от пени по п. 7.4
• Условия г1/г2 защищают от злоупотреблений: событие должно оказывать прямое воздействие на исполнение и быть подтверждено официальным документом
• Фиксированный текст не подлежит редактированию — только просмотр и валидация</t>
  </si>
  <si>
    <t>Раздел «10. Обстоятельства непреодолимой силы»
Подпункт 10.3 выделен</t>
  </si>
  <si>
    <t>Форма «10.3 Срок уведомления о форс-мажоре»
Поля:
• Срок уведомления: [5] (выпадающий список: 3 / 5 / 7 / 10 рабочих дней)
• Тип дня: ☑ рабочие дни (фиксировано, серый фон)
• Фиксированный текст о последствиях неуведомления:
«Если уведомление не направлено в указанный срок, право на освобождение от ответственности утрачивается.»</t>
  </si>
  <si>
    <t>Предпросмотр п. 10.3
Текст договора:
«...обязана в течение [5] (пяти) рабочих дней с момента их наступления письменно уведомить другую Сторону...»
Под текстом — предупреждение красным шрифтом:
«ВНИМАНИЕ: Отсутствие уведомления в срок → утрата права на освобождение от ответственности»</t>
  </si>
  <si>
    <t>1. Просмотреть значение по умолчанию: 5 рабочих дней
2. При необходимости выбрать другое значение из выпадающего списка (3 / 7 / 10 раб. дней)
3. Сохранить выбор</t>
  </si>
  <si>
    <t>1. Система устанавливает значение 5 рабочих дней по умолчанию при открытии формы
2. При выборе другого значения:
• Значение сохраняется в проекте КД (поле «Срок_уведомления_форсмажор»)
• Текст в нижней панели обновляется с прописью числа («пять» → «семь»)
3. Для госзаказа:
• При выборе значения &lt;5 → поле блокируется, подсказка «Минимум 5 раб. дней по 44-ФЗ»
4. Поле подсвечивается зелёным после сохранения</t>
  </si>
  <si>
    <t>Справочники:
• Справочник стандартных сроков уведомления форс-мажора: 3, 5, 7, 10 рабочих дней
Системные данные:
• Поле «Срок_уведомления_форсмажор_по_умолчанию» = 5 раб. дней
• Поле «Срок_уведомления_форсмажор_проекта» — перезаписывается при редактировании</t>
  </si>
  <si>
    <t>Алгоритм установки значения:
ЕСЛИ Срок_уведомления_форсмажор_проекта = пусто
ТО Срок_уведомления_форсмажор_проекта = Срок_уведомления_форсмажор_по_умолчанию (5)
ИНАЧЕ Сохранить_выбранное_значение
Валидация для госзаказа:
ЕСЛИ Тип_клиента = "Госзаказ" И Срок_уведомления_форсмажор &lt; 5
ТО Блокировка_выбора = да, Подсказка("Минимум 5 рабочих дней по 44-ФЗ")
Алгоритм расчёта срока уведомления (для будущего использования):
Дата_уведомления_последняя = Дата_наступления_форсмажор + Срок_уведомления_форсмажор_проекта (рабочие дни)</t>
  </si>
  <si>
    <t>• Срок 5 рабочих дней установлен по умолчанию как минимальный по 44-ФЗ для госзаказа и рыночный стандарт для коммерческих договоров
• Рабочие дни (не календарные) — критически важно для расчёта сроков в будущем (например: форс-мажор наступил в пятницу → уведомление не позднее следующей пятницы)
• Формулировка о утрате права на освобождение при неуведомлении — жёсткая защита интересов Заказчика; система выделяет это предупреждением красным цветом в интерфейсе для привлечения внимания Инженера ПТО
• Для госзаказа система блокирует выбор значений &lt;5 раб. дней с предупреждением о нарушении 44-ФЗ</t>
  </si>
  <si>
    <t>Раздел «10. Обстоятельства непреодолимой силы»
Подпункт 10.4 выделен</t>
  </si>
  <si>
    <t>Форма «10.4 Продление сроков после форс-мажора»
Поле только для просмотра (фиксированный текст):
• «Если Стороны приходят к выводу, что исполнение Договора возможно после прекращения действия обстоятельств непреодолимой силы, сроки исполнения обязательств продлеваются на период, необходимый для устранения последствий таких обстоятельств, но не более разумного срока, требуемого для восстановления нормальных условий выполнения работ.»</t>
  </si>
  <si>
    <t>Предпросмотр п. 10.4
Текст договора с фиксированной формулировкой (серый фон)
Под текстом — связь с ГПР (Приложение №3):
«Продление сроков автоматически отразится в Графике производства работ»</t>
  </si>
  <si>
    <t>1. Просмотреть фиксированный текст подпункта 10.4</t>
  </si>
  <si>
    <t>1. Подпункт отображается серым цветом (только просмотр)
2. Система автоматически проверяет наличие ключевой формулировки о продлении сроков</t>
  </si>
  <si>
    <t>Справочники:
• Справочник статей ГК РФ (ст. 401)
Системные данные:
• Флаг «Формулировка_продления_присутствует»
• Ссылка на ГПР (Приложение №3)</t>
  </si>
  <si>
    <t>Алгоритм валидации формулировки:
ЕСЛИ Текст_10.4_содержит("сроки исполнения обязательств продлеваются")
ТО Статус_10.4 = "Валидно"
ИНАЧЕ Статус_10.4 = "Требуется_корректировка"</t>
  </si>
  <si>
    <t>• Формулировка 10.4 критически важна: автоматическое продление сроков при форс-мажоре без начисления пени по п. 7.4 — это прямая связь с ГПР (Приложение №3)
• Ограничение «не более разумного срока» защищает Заказчика от злоупотреблений (бесконечного продления)
• В будущем при наступлении форс-мажора система Планировщика автоматически:
— приостанавливает отсчёт сроков в ГПР с даты наступления события
— возобновляет отсчёт с даты получения официального документа о прекращении события
— пересчитывает дату завершения работ без начисления пени</t>
  </si>
  <si>
    <t>Раздел «10. Обстоятельства непреодолимой силы»
(автоматический переход)</t>
  </si>
  <si>
    <t>Системное действие:
Проверка 100% заполнения всех подпунктов 10.1–10.4</t>
  </si>
  <si>
    <t>Предпросмотр п. 10
Полностью заполненный текст пункта 10:
• Освобождение от ответственности (10.1)
• Определение и перечень форс-мажора (10.2)
• Срок уведомления [5] раб. дней (10.3)
• Продление сроков после форс-мажора (10.4)</t>
  </si>
  <si>
    <t>Автоматическое действие системы после 100% заполнения:
1. Система проверяет обязательные поля пункта 10:
• 10.3: срок уведомления ≠ пусто
• Все формулировки 10.1, 10.2, 10.4 валидны</t>
  </si>
  <si>
    <t>1. При успешной валидации:
• Все подпункты 10.1–10.4 подсвечиваются зелёным в левой панели
• Кнопка «Далее» активируется для перехода к Этапу А9 (п. 11 Заключительные положения)
2. При неудачной валидации:
• Незаполненное поле 10.3 или невалидная формулировка подсвечиваются красным с подсказкой «Обязательное поле / Требуется корректировка»
• Кнопка «Далее» заблокирована</t>
  </si>
  <si>
    <t>Справочники:
• Справочник обязательных полей пункта 10: {10.3, 10.1.формулировка, 10.2.перечень, 10.4.формулировка}
Системные данные:
• Статус заполнения пункта 10 (0–100%)
• Флаг «Пункт_10_валиден» (да/нет)</t>
  </si>
  <si>
    <t>Алгоритм валидации пункта 10:
ЕСЛИ (10.3_заполнен = да) И (10.1_валиден = да) И (10.2_валиден = да) И (10.4_валиден = да)
ТО Пункт_10_валиден = да
ИНАЧЕ Пункт_10_валиден = нет</t>
  </si>
  <si>
    <t>• Обязательным к заполнению является только подпункт с переменным значением (10.3); остальные — фиксированный текст с валидацией формулировок
• Завершение пункта 10 разблокирует переход к последнему простому пункту договора (п. 11) в рамках Этапа А
• Все значения и формулировки пункта 10 сохраняются в проекте КД и будут использоваться в будущем для:
— автоматического приостановления сроков в ГПР при наступлении форс-мажора
— контроля соблюдения срока уведомления (5 раб. дней)
— автоматического пересчёта дат завершения работ без начисления пени по п. 7.4</t>
  </si>
  <si>
    <t>А9</t>
  </si>
  <si>
    <t>Раздел «11. Заключительные положения»
Подпункт 11.1 выделен</t>
  </si>
  <si>
    <t>Форма «11.1 Вступление в силу и срок действия»
Поле только для просмотра (фиксированный текст):
• «Настоящий Договор вступает в силу с момента его подписания Сторонами и действует до полного исполнения всех обязательств по Договору.»</t>
  </si>
  <si>
    <t>Предпросмотр п. 11.1
Текст договора с фиксированной формулировкой (серый фон)</t>
  </si>
  <si>
    <t>1. Просмотреть фиксированный текст подпункта 11.1</t>
  </si>
  <si>
    <t>1. Подпункт отображается серым цветом (только просмотр)
2. Система автоматически проверяет наличие ключевой формулировки о моменте вступления в силу</t>
  </si>
  <si>
    <t>Справочники:
• Справочник статей ГК РФ (ст. 425)
Системные данные:
• Флаг «Формулировка_вступления_в_силу_присутствует»</t>
  </si>
  <si>
    <t>Алгоритм валидации формулировки:
ЕСЛИ Текст_11.1_содержит("вступает в силу с момента его подписания") И Текст_11.1_содержит("до полного исполнения всех обязательств")
ТО Статус_11.1 = "Валидно"
ИНАЧЕ Статус_11.1 = "Требуется_корректировка"</t>
  </si>
  <si>
    <t>• Формулировка 11.1 устанавливает стандартный порядок вступления договора в силу — с момента подписания (не с даты регистрации или иного события)
• Отсутствие условия «до полного исполнения» создаёт юридический риск — договор может быть признан бессрочным; система проверяет наличие этой формулировки
• Фиксированный текст не подлежит редактированию — только просмотр и валидация</t>
  </si>
  <si>
    <t>Раздел «11. Заключительные положения»
Подпункт 11.2 выделен</t>
  </si>
  <si>
    <t>Форма «11.2 Срок уведомления об изменении реквизитов»
Поля:
• Срок уведомления: [3] (выпадающий список: 1 / 2 / 3 / 5 / 10 рабочих дней)
• Тип дня: ☑ рабочие дни (фиксировано, серый фон)
• Фиксированный текст о последствиях неуведомления:
«...для целей настоящего Договора фактическим местонахождением... считаются сведения, указанные в п. 13»</t>
  </si>
  <si>
    <t>Предпросмотр п. 11.2
Текст договора:
«...не позднее [3] (трёх) рабочих дней с даты вступления таких изменений в силу...»
Под текстом — связь с п. 13:
«При отсутствии уведомления действуют реквизиты из п. 13»</t>
  </si>
  <si>
    <t>1. Просмотреть значение по умолчанию: 3 рабочих дня
2. При необходимости выбрать другое значение из выпадающего списка (1 / 2 / 5 / 10 раб. дней)
3. Сохранить выбор</t>
  </si>
  <si>
    <t>1. Система устанавливает значение 3 рабочих дня по умолчанию при открытии формы
2. При выборе другого значения:
• Значение сохраняется в проекте КД (поле «Срок_уведомления_реквизитов»)
• Текст в нижней панели обновляется с прописью числа («три» → «пять»)
3. Для госзаказа:
• При выборе значения &lt;3 → поле активно, но система выводит предупреждение жёлтым цветом: «Рекомендуется не менее 3 раб. дней для госзаказа»
4. Поле подсвечивается зелёным после сохранения</t>
  </si>
  <si>
    <t>Справочники:
• Справочник стандартных сроков уведомления об изменении реквизитов: 1, 2, 3, 5, 10 рабочих дней
Системные данные:
• Поле «Срок_уведомления_реквизитов_по_умолчанию» = 3 раб. дня
• Поле «Срок_уведомления_реквизитов_проекта» — перезаписывается при редактировании</t>
  </si>
  <si>
    <t>Алгоритм установки значения:
ЕСЛИ Срок_уведомления_реквизитов_проекта = пусто
ТО Срок_уведомления_реквизитов_проекта = Срок_уведомления_реквизитов_по_умолчанию (3)
ИНАЧЕ Сохранить_выбранное_значение
Алгоритм расчёта срока уведомления (для будущего использования):
Дата_уведомления_последняя = Дата_изменения_реквизитов + Срок_уведомления_реквизитов_проекта (рабочие дни)</t>
  </si>
  <si>
    <t>• Срок 3 рабочих дня установлен по умолчанию как разумный баланс между оперативностью и возможностью подготовить официальное письмо с приложениями
• Рабочие дни (не календарные) — критически важно для расчёта сроков в будущем (например: изменение реквизитов в пятницу → уведомление не позднее следующей среды)
• Формулировка о применении реквизитов из п. 13 при неуведомлении — важная защита для обеих сторон: исключает споры о действительности уведомлений, отправленных на устаревшие адреса/email
• Для госзаказа минимальный срок 3 раб. дня не является обязательным по 44-ФЗ (требования к срокам уведомлений варьируются), поэтому система не блокирует выбор меньших значений, но выводит рекомендацию</t>
  </si>
  <si>
    <t>Раздел «11. Заключительные положения»
Подпункт 11.3 выделен</t>
  </si>
  <si>
    <t>Форма «11.3 Отсылка к законодательству»
Поле только для просмотра (фиксированный текст):
• «Во всём, что не предусмотрено настоящим Договором, Стороны руководствуются действующим законодательством Российской Федерации.»</t>
  </si>
  <si>
    <t>Предпросмотр п. 11.3
Текст договора с фиксированной формулировкой (серый фон)</t>
  </si>
  <si>
    <t>1. Просмотреть фиксированный текст подпункта 11.3</t>
  </si>
  <si>
    <t>1. Подпункт отображается серым цветом (только просмотр)
2. Система автоматически проверяет наличие ключевой формулировки об отсылке к законодательству РФ</t>
  </si>
  <si>
    <t>Справочники:
• Справочник статей ГК РФ (ст. 421)
Системные данные:
• Флаг «Формулировка_отсылки_к_законодательству_присутствует»</t>
  </si>
  <si>
    <t>Алгоритм валидации формулировки:
ЕСЛИ Текст_11.3_содержит("руководствуются действующим законодательством Российской Федерации")
ТО Статус_11.3 = "Валидно"
ИНАЧЕ Статус_11.3 = "Требуется_корректировка"</t>
  </si>
  <si>
    <t>• Формулировка 11.3 критически важна: устанавливает дополнительный источник правового регулирования помимо договора — это стандартная «страховка» на случай пробелов в договоре
• Указание именно «Российской Федерации» (а не просто «действующим законодательством») исключает применение иностранного права — важно для международных контрагентов
• Фиксированный текст не подлежит редактированию — только просмотр и валидация</t>
  </si>
  <si>
    <t>Раздел «11. Заключительные положения»
Подпункт 11.4 выделен</t>
  </si>
  <si>
    <t>Форма «11.4 Количество экземпляров»
Поле только для просмотра (фиксированный текст):
• «Настоящий Договор составлен в двух экземплярах, имеющих одинаковую юридическую силу, по одному для каждой из Сторон.»</t>
  </si>
  <si>
    <t>Предпросмотр п. 11.4
Текст договора с фиксированной формулировкой (серый фон)</t>
  </si>
  <si>
    <t>1. Просмотреть фиксированный текст подпункта 11.4</t>
  </si>
  <si>
    <t>1. Подпункт отображается серым цветом (только просмотр)
2. Система автоматически проверяет наличие формулировки о количестве экземпляров и их равной юридической силе</t>
  </si>
  <si>
    <t>Справочники:
• Справочник требований ГК РФ к форме договоров (ст. 160, 161)
Системные данные:
• Флаг «Формулировка_количества_экземпляров_присутствует»</t>
  </si>
  <si>
    <t>Алгоритм валидации формулировки:
ЕСЛИ Текст_11.4_содержит("в двух экземплярах") И Текст_11.4_содержит("одинаковую юридическую силу")
ТО Статус_11.4 = "Валидно"
ИНАЧЕ Статус_11.4 = "Требуется_корректировка"</t>
  </si>
  <si>
    <t>• Формулировка 11.4 устанавливает равную юридическую силу обоих экземпляров — это исключает споры о приоритете в случае расхождений (например, при ручных исправлениях)
• Для некоторых видов договоров (например, с госзаказчиком) может требоваться третий экземпляр для архива — система выводит предупреждение при типе клиента «Госзаказ»: «Рекомендуется третий экземпляр для архива Заказчика» (но не блокирует заполнение)
• Фиксированный текст не подлежит редактированию — только просмотр и валидация</t>
  </si>
  <si>
    <t>Раздел «11. Заключительные положения»
(автоматический переход)</t>
  </si>
  <si>
    <t>Системное действие:
Проверка 100% заполнения всех подпунктов 11.1–11.4</t>
  </si>
  <si>
    <t>Предпросмотр п. 11
Полностью заполненный текст пункта 11:
• Вступление в силу (11.1)
• Срок уведомления [3] раб. дней (11.2)
• Отсылка к законодательству (11.3)
• Количество экземпляров (11.4)</t>
  </si>
  <si>
    <t>Автоматическое действие системы после 100% заполнения:
1. Система проверяет обязательные поля пункта 11:
• 11.2: срок уведомления ≠ пусто
• Все формулировки 11.1, 11.3, 11.4 валидны</t>
  </si>
  <si>
    <t>1. При успешной валидации:
• Все подпункты 11.1–11.4 подсвечиваются зелёным в левой панели
• Кнопка «Далее» активируется для перехода к Этапу Б (расчётные пункты и приложения)
2. При неудачной валидации:
• Незаполненное поле 11.2 или невалидная формулировка подсвечиваются красным с подсказкой «Обязательное поле / Требуется корректировка»
• Кнопка «Далее» заблокирована</t>
  </si>
  <si>
    <t>Справочники:
• Справочник обязательных полей пункта 11: {11.2, 11.1.формулировка, 11.3.формулировка, 11.4.формулировка}
Системные данные:
• Статус заполнения пункта 11 (0–100%)
• Флаг «Пункт_11_валиден» (да/нет)
• Флаг «Этап_А_завершён» (да/нет)</t>
  </si>
  <si>
    <t>Алгоритм валидации пункта 11:
ЕСЛИ (11.2_заполнен = да) И (11.1_валиден = да) И (11.3_валиден = да) И (11.4_валиден = да)
ТО Пункт_11_валиден = да, Этап_А_завершён = да
ИНАЧЕ Пункт_11_валиден = нет, Этап_А_завершён = нет
Триггер перехода к Этапу Б:
ЕСЛИ Этап_А_завершён = да
ТО Активировать_Этап_Б = да, Разблокировать_Приложение_№1 = да</t>
  </si>
  <si>
    <t>• Обязательным к заполнению является только подпункт с переменным значением (11.2); остальные — фиксированный текст с валидацией формулировок
• Завершение пункта 11 означает полное завершение Этапа А (все пункты без алгоритмических расчётов заполнены)
• Система автоматически:
— активирует доступ к Приложению №1 (Смета) для запуска расчётов (Этап Б1)
— разблокирует пункты с расчётами (п. 2, п. 3, п. 4, п. 5)
— сохраняет все данные Этапа А в проект КД для использования в расчётах этапа Б</t>
  </si>
  <si>
    <t>Приложение №1 Смета
Прогресс-бар:
☐ Исходные данные ⏳
☐ Декомпиляция вида работ на операции
☐ Формирование ФОТ и Премиального фонда
☐ Расчёт «Специалисты»
☐ Расчёт «Опт. состав»
☐ Формирование итоговой сметы</t>
  </si>
  <si>
    <t>Форма «Исходные данные»
Блок 1: Ставки исполнителей
• Рыночная ставка специалиста по виду работ (₽/час):
  — 1. Монтаж каркасов... = 1 500 ₽/час ← вид работ серым, поле ввода активно
  — 2. Монтаж заполнений... = 1 200 ₽/час
  — 3. Обдирание пленки... = 800 ₽/час
  — 4. Доводчики = 1 250 ₽/час (автоподстановка)
  — 5. Координаторы... = 1 250 ₽/час (автоподстановка)
• Средняя ставка разнорабочего в регионе = 400 ₽/час (выбор из справочника регионов)
Блок 2: Коэффициенты расчёта
• Коэффициент базовой ставки = 1,5 (поле ввода, справочник «Коэффициенты_базовой_ставки»)
• Коэффициент ключевых операций = 1,8 (поле ввода, справочник «Коэффициенты_ключевых_операций»)
  ⚠️ Применяется ТОЛЬКО во внутреннем сценарии «Оптимальный состав»
• Надбавка за бригадирство = 1,10 (+10%, поле ввода, справочник «Надбавки_за_роли»)
• Буфер на обучение стажёров = 1,3 (поле ввода, справочник «Буферы_обучения»)
  ⚠️ Динамически: 1,15 если есть видеоинструкция, 1,3 если нет (проверка в КП)
• Доля премиального фонда наставнику = 0,70 (70%, поле ввода, справочник «Распределение_премиального_фонда»)
• Резерв риска = 0,05 (5%, поле ввода, справочник «Резервы_риска»)
• Инфраструктурные расходы = 0,05 (5%, поле ввода, справочник «Инфраструктурные_расходы»)
• Целевая наценка (корпоративный клиент) = 0,18 (18%, поле ввода, справочник «Целевые_наценки»)
Блок 3: Сценарии расчёта (внутреннее использование)
• Сценарий «Специалисты»: Все операции по рыночной ставке, коэффициент ключевых = 1,0
  — Назначение: Аргументация цены заказчику в Приложении №1
• Сценарий «Оптимальный состав»: Каскадное наставничество, коэффициент ключевых = 1,8
  — Назначение: Внутреннее планирование и оплата исполнителей (СП)
Доступные действия:
• Просмотр/редактирование полей (серый фон = данные из КП)
• Кнопка «Сохранить версию в БД»
• Кнопка «Загрузить значения по умолчанию»
⚠️ Примечание:
• Оба сценария фиксируются во внутреннем приложении к договору
• В экспорт для заказчика попадает ТОЛЬКО согласованная цена (без разделения на сценарии)
• Коэффициент 1,8 НЕ отображается в договоре — это внутренний мотивационный механизм</t>
  </si>
  <si>
    <t>Таблица сметы (предпросмотр)
Режим: ☑ Смета / ☐ Затраты (кнопки неактивны до завершения Шага 1)
№ | Наименование работ | Ед. изм. | Кол-во | Цена за ед. | Сумма | Этап ГПР
1 | Монтаж каркасов... | м² | 901,19 | 3 700 | 3 334 403 | Этап 1
2 | Монтаж заполнений... | м² | 901,19 | 2 460 | 2 216 927 | Этап 1
3 | Обдирание пленки... | м² | 901,19 | 200 | 180 238 | Этап 2
4 | Доводчики | шт | 42 | 1 250 | 52 500 | Этап 2
5 | Координаторы... | шт | 20 | 1 250 | 25 000 | Этап 2
Итого | | | 2 766,76 | — | 5 809 068 | —
Уведомление системы (жёлтая полоса под таблицей):
«В расчёте применяются коэффициенты: базовая ставка = 1,5 × ставка разнорабочего; ключевые операции = 1,8 × рыночная ставка»</t>
  </si>
  <si>
    <t>1. Просмотреть автоподставленные рыночные ставки специалистов из КП (серый фон)
2. При необходимости откорректировать ставки в полях ввода
3. Проверить/откорректировать коэффициенты в Блоке 2 (все поля активны для редактирования)
4. Выбрать регион из справочника для автоматического заполнения ставки разнорабочего ИЛИ ввести значение вручную
5. Нажать кнопку «Сохранить версию в БД»</t>
  </si>
  <si>
    <t>1. Система сохраняет ВСЕ введённые значения в БД с привязкой к проекту:
• Ставки исполнителей (рыночные, разнорабочего)
• Все коэффициенты из Блока 2 с указанием источника («по умолчанию» / «вручную»)
• Фиксирует дату/время изменения и версию (например: «Смета_v1_06.02.2026_14:30»)
2. Активирует кнопки переключения режимов в нижней панели:
• ☑ Смета (активна по умолчанию)
• ☐ Затраты (активна после сохранения)
3. Прогресс-бар обновляется:
• ☑ Исходные данные ✅
• ☐ Декомпиляция ⏳
4. Система отображает уведомление о применённых коэффициентах в нижней панели (жёлтая полоса)</t>
  </si>
  <si>
    <t>Справочники:
• КЭ.Э1–Э12 (Якоря, Ставки, Правила 1–4, Буфер 0–100%, Фиксация модели 4 проекта ИЛИ 90 дней)
• КЭ.Э1.Буфер_времени (диапазон 0–100%, фиксируется в Конструкторе Экономики ДО запуска)
• КЭ.Э12.Флаг_модели_зафиксирована = да (после финализации Э12)
• Справочник рыночных ставок по видам работ и регионам РФ
• Справочник регионов с базовыми ставками разнорабочего (Нижегородская область = 400 ₽/час)
• Справочник видов работ из КП (объёмы, единицы измерения)
• Справочник «Физ. ограничения» (из КП: Вес &gt;40кг, Площадь &gt;2,5м², Высота &gt;2м)
• КП передаёт маркеры в КД:
— Видеоинструкция: Пустая ссылка → 1,3 / Есть ссылка → 1,15
— Физ. ограничения: Вес &gt;40кг / Площадь &gt;2,5м² / Высота &gt;2м → расчёт численности с коэффициентом
• Справочник «Коэффициенты_базовой_ставки» (значение по умолчанию = 1,5)
• Справочник «Коэффициенты_ключевых_операций» (значение по умолчанию = 1,8)
• Справочник «Надбавки_за_роли» (бригадир = 1,10)
• Справочник «Буферы_обучения» (значение по умолчанию = 1,3 / 1,15 динамически из Справочника операций)
• Справочник «Распределение_премиального_фонда» (наставник = 0,70)
• Справочник «Резервы_риска» (значение по умолчанию = 0,05)
• Справочник «Инфраструктурные_расходы» (диапазон 0,05–0,07)
• Справочник «Целевые_наценки» (корпоративный = 0,18, госзаказ = 0,15)
• Справочник операций (блокируется на обновление на 4 проекта ИЛИ 90 дней 
Системные данные:
• Поле «Ставка_разнорабочего_регион»
• Поля для всех коэффициентов (отдельные поля в БД)
• Поле «Флаг_модели_зафиксирована» = да (после финализации Э12)
• Поле «Проектов_завершено_в_модели» = 0 (счётчик до 4)
• Поле «Дней_до_разблокировки» = 90 (счётчик дней)
• Флаг «Изменение_требует_допсоглашения» = да (после фиксации КЭ)
• Поле «Буфер_времени_направление» = значение из КЭ.Э1 (0–100%)
• Флаг «Буфер_зафиксирован» = да/нет
• Флаг «Исходные_данные_сохранены»
• История версий коэффициентов (аудит изменений)</t>
  </si>
  <si>
    <t>Алгоритм автоподстановки ставок:
ЕСЛИ КЭ.Флаг_модели_зафиксирована = нет
ТО Блокировать_расчёт = да, Подсказка("КЭ не зафиксирован. Требуется завершение Пре-продакшн (Э1–Э12)")
ЕСЛИ Проект.Регион ≠ пусто И Проект.Вид_работ ≠ пусто
ТО Рыночная_ставка = Справочник_ставок[Регион][Вид_работ]
ИНАЧЕ Рыночная_ставка = 1 500 (дефолт для монтажа каркасов)
Алгоритм расчёта базовой ставки (с выносом коэффициента в поле):
Коэффициент_базовой_ставки = Справочник_коэффициентов["Базовая_ставка"]
Базовая_ставка_час = Ставка_разнорабочего × Коэффициент_базовой_ставки
Базовая_ставка_мин = Базовая_ставка_час / 60
Алгоритм расчёта ставки ключевых операций:
Коэффициент_ключевых = Справочник_коэффициентов["Ключевые_операции"]
Ставка_ключевых = Рыночная_ставка × Коэффициент_ключевых
Валидация сохранения:
ЕСЛИ (Все_ставки ≠ пусто) И (Ставка_разнорабочего ≠ пусто) И (Все_коэффициенты ≠ пусто)
ТО Флаг_сохранения = да, Разблокировать_Шаг_2 = да
ИНАЧЕ Флаг_сохранения = нет, Подсказка("Заполните все обязательные поля и коэффициенты")
Алгоритм уведомления о коэффициентах:
При_открытии_шага_2:
Отобразить_уведомление("Применены коэффициенты: базовая ставка = " + Коэффициент_базовой_ставки + " × ставка разнорабочего; ключевые операции = " + Коэффициент_ключевых + " × рыночная ставка")</t>
  </si>
  <si>
    <t>Руководитель проекта</t>
  </si>
  <si>
    <t xml:space="preserve">1. ФИКСАЦИЯ МОДЕЛИ (4 ПРОЕКТА ИЛИ 90 ДНЕЙ) 
─────────────────────────────────────────────────────────────────
• Справочник операций блокируется на обновление на 4 проекта ИЛИ 90 дней 
  (КЭ.Э12)
• КД использует Справочник операций (зафиксированный КЭ) для операций и 
  нормативов
• Изменение Справочника операций до завершения 4 проектов/90 дней требует 
  допсоглашения со всеми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
2. КОЭФФИЦИЕНТЫ И СТАВКИ 
───────────────────────────────────────────────────────────────────
• Критически важно: все коэффициенты вынесены в отдельные поля и 
  справочники — НЕ хардкод в коде системы. Это позволяет:
  — Адаптировать расчёты под разные регионы и типы работ
  — Вести аудит изменений коэффициентов (кто, когда, почему изменил)
  — Сохранять версии коэффициентов для каждого проекта независимо
• Ставка разнорабочего критически важна: от неё рассчитывается базовая 
  ставка через коэффициент 1,5 (поле ввода, а не константа)
• Принцип оплаты: Базовая ставка стажёра (510 ₽/час) рассчитывается как 
  1,5 × ставка разнорабочего (340 ₽/час) и выплачивается исполнителям 
  полностью. Экономия возникает за счёт того, что часть работ выполняют 
  стажёры под руководством наставников, а не дорогие специалисты.
• Все сохранённые версии коэффициентов доступны в истории изменений с 
  возможностью отката при согласовании с Заказчиком.
• После сохранения система автоматически рассчитывает:
  — Базовая ставка = 400 × 1,5 = 600 ₽/час
  — Ставка ключевых операций = 1 500 × 1,8 = 2 700 ₽/час
  — Отображается в подсказке при наведении на соответствующие поля.
3. ПРАВИЛА 1–4 
─────────────────────────────────────────────────────────────────
• Параметры эффектов фиксируются в КЭ до первого проекта (КЭ.Э9)
• В КД применяются автоматически в сценарии «Оптимальный состав»
• Эффекты отслеживаются для аналитики после 4 проектов:
  — Правило 1: +5% (коррекция ставки при отклонении ≥10%)
  — Правило 2: +8% (приоритетное обучение: цель + ошибка ≤3%)
  — Правило 3: +12% (доступ к ключевым + кросс-направление)
  — Правило 4: +10% (приоритет СВР на Фазах 1–2)
4. АРХИТЕКТУРНЫЕ ПРИНЦИПЫ ОРБИТЫ 
───────────────────────────────────────────────────────────────────
• Принцип 1 (Алгоритм = координатор): Расчёт сметы выполняется алгоритмом 
  КД на основе данных КП + КЭ. Ручное вмешательство в расчёт запрещено. 
  Это защищает систему от субъективных решений и деградации нормативов.
• Принцип 2 (Цифровые двойники): Все данные операций (нормативы, время, 
  качество, физ. ограничения) сохраняются в структурированном формате для 
  последующего построения цифровых двойников процессов. КП передаёт данные 
  в формате, пригодном для аналитики и машинного обучения.
• Принцип 3 (Бенефициар норматива): Улучшение норматива ≥7% фиксируется в 
  Справочнике → исполнитель получает ПД 2% от стоимости операции во всех 
  будущих проектах. Это превращает исполнителя из «ресурса» в со-владельца 
  технологии.
5. ФИКСАЦИЯ ПАРАМЕТРОВ
───────────────────────────────────────────────────────────────────
• КЭ должен быть зафиксирован ДО первого проекта направления (Э12).
• Буфер времени 0–100% фиксируется в КЭ.Э1 ДО запуска — изменение после 
  запуска требует допсоглашения (см. КЭ Э1).
• Изменение любого зафиксированного параметра после запуска требует 
  допсоглашения со всеми проектами направления.
6. РАЗДЕЛЕНИЕ ОТВЕТСТВЕННОСТИ (КП ↔ КД ↔ КЭ)
─────────────────────────────────────────────────────────────────────
• КП НЕ получает данные из КЭ — два параллельных, независимых источника 
  данных.
• КД объединяет данные на этапе сметы и ГПР:
  — Из КП: объёмы, операции, последовательность, физ. ограничения, видео
  — Из КЭ: якоря Э1–Э12, ставки, коэффициенты, правила 1–4, буфер 0–100%
</t>
  </si>
  <si>
    <t xml:space="preserve"> Декомпиляция вида работ на операции 
</t>
  </si>
  <si>
    <t xml:space="preserve">Кнопки:
• [Смета] ☑
• [Затраты] ☐
Список видов работ из сметы КП:
• Монтаж каркасов, примыканий, укрытие плёнкой (901,19 м²)
• Монтаж заполнений (стеклопакеты, планки) (901,19 м²)
• Обдирание пленки со стеклопакетов (901,19 м²)
• Доводчики (42 шт)
• Координаторы открывания (20 шт)
</t>
  </si>
  <si>
    <t>Таблица сметы (без индикации):
№ | Наименование работ | Ед. изм. | Кол-во | Цена за ед. | Сумма | 
1 | Монтаж каркасов... | м² | 901,19 | 3 700 | 3 334 403 |  ← курсор наведён на строку 1</t>
  </si>
  <si>
    <t>Например, нажали на строку с позицией сметы «Монтаж каркасов...», в нижней панели открывается таблица операций</t>
  </si>
  <si>
    <t>Система раскрывает декомпозицию под строкой 1:
№ | Наименование работ | Ед. изм. | Кол-во | Цена за ед. | Сумма |
1 | Монтаж каркасов... | м² | 901,19 | 3 700 | 3 334 403 | 
├─ 1.1 | Сборка каркасов | м² | 901,19 | 700 | 630 833 | 
├─ 1.2 | Разноска по проёмам | м² | 901,19 | 300 | 270 357 | 
├─ 1.3 | Установка в проектное положение | м² | 901,19 | 1 500 | 1 351 785 | 
├─ 1.4 | Установка примыканий | п.м. | 1 500 | 650 | 975 000 | 
└─ 1.5 | Укрытие плёнкой | м² | 300 | 354,76 | 106 428 |
...</t>
  </si>
  <si>
    <t>Кнопки переключения:
• [Смета] ☐
• [Затраты] ☑
Список статей консолидированных затрат:
• ФОТ (фонд оплаты труда)
• Материалы (основные)
• Материалы (вспомогательные)
• Инструмент (аренда/износ)
• Оборудование (аренда)
• Логистика (доставка)
• СИЗ (средства индивидуальной защиты)
• Администрирование (ПТО, связь)
• Страхование ГО
• Инфраструктурные расходы (5–7%)</t>
  </si>
  <si>
    <t>Таблица затрат по проекту (общая) и расшифровка:
Категория затрат | Сумма, ₽ | Доля от общей стоимости |
ФОТ | 1 875 000 | 32,3% |
Роль | Ставка, ₽/час | Время, час | Сумма, ₽ |
Специалист | 1 500 | 800 | 1 200 000 |
Наставник | 1 800 | 300 | 540 000 |
Стажёр | 600 | 225 | 135 000 |
ИТОГО ФОТ | | 1 325 | 1 875 000 |
Следующие блоки статей не расписаны:
Материалы (основные) | 1 245 000 | 21,4% |
Материалы (вспомогательные) | 180 000 | 3,1% |
Инструмент (аренда/износ) | 125 000 | 2,2% |
Оборудование (аренда) | 200 000 | 3,4% |
Логистика (доставка) | 85 000 | 1,5% |
СИЗ | 45 000 | 0,8% |
Администрирование | 90 000 | 1,6% |
Страхование ГО | 17 500 | 0,3% |
Инфраструктурные расходы | 232 500 | 4,0% |
ИТОГО | 3 900 000 | 67,1% |</t>
  </si>
  <si>
    <t>Наведение курсора на строку «ФОТ» в правой панели</t>
  </si>
  <si>
    <t xml:space="preserve">Система раскрывает детализацию по статье «ФОТ»:
</t>
  </si>
  <si>
    <t>Формирование ФОТ и Премиального фонда по видам работ</t>
  </si>
  <si>
    <t xml:space="preserve">(Все данные расчитаны автоматически)
Расчёт базовых ставок:
• Базовая ставка час = Ставка_разнорабочего 400 × 1,5 = 600 ₽/час
• Базовая ставка мин = 600 / 60 = 10 ₽/мин
• Рыночная ставка специалиста по виду работ из сметы:
    1. Монтаж каркасов... час = 1 500 Р/час
     2. Монтаж заполнений... час = 1 200 Р/час
     3. Обдирание пленки... час = 800 Р/час
     4. 
• Рыночная ставка мин = 1 500 / 60 = 25 ₽/мин
• Коэффициэнт ключевых операций 1,8← выводится из справочника данных
• Ставка специалиста на ключевых оперциях = 1500 х 1,8 = 2 700 Р/час
Формирование премиального фонда по видам работ:
 1. Монтаж каркасов...:
     • Время вида в минутах = 275,8ч × 60мин = 16 548 мин
     • Премиальный фонд вида = (25р − 10р) × 16 548мин = 248 220 ₽
2. Монтаж заполнений:
     • Время вида в минутах = 
     • Премиальный фонд вида =
3.
ИТОГО: 1+2+3+...= сумма
Бюджет_ФОТ_проекта: 
                                            = Σᵢ [Базовая_ставка × Время_видаᵢ + (Рыночная_ставкаᵢ − Базовая_ставка) × Время_видаᵢ]
где:
• Базовая_ставка = 1,5 × Ставка_разнорабочего_в_регионе (едина для всех видов работ)
• (Рыночная_ставкаᵢ − Базовая_ставка) × Время_видаᵢ = Премиальный_фонд_видаᵢ
Альтернатива= Σᵢ [Рыночная_ставкаᵢ × Время_видаᵢ]
где:
• Рыночная_ставкаᵢ — уникальна для вида работᵢ
• Время_видаᵢ — сумма времени всех операций этапов 10–50 для видаᵢ
• Суммирование — по всем видам работ проекта
</t>
  </si>
  <si>
    <t>Таблица распределения премиального фонда по операциям:
Операция | Время (час) | Доля операции | Фонд операции |
Сборка каркасов | 13,5 | 4,9% | 12 163 ₽ |
Установка кронштейнов (ключевая) | 63,1 | 22,9% | 56 842 ₽ |
Монтаж вертикальных профилей (ключевая) | 90,1 | 32,7% | 81 128 ₽ |
Монтаж горизонтальных профилей | 76,6 | 27,8% | 69 005 ₽ |
Контроль геометрии (ключевая) | 22,5 | 8,2% | 20 354 ₽ |
Неявные операции | 10,0 | 3,6% | 8 728 ₽ |
ИТОГО | 275,8 | 100% | 248 220 ₽ |
Логика:
Шаг 3.3. Распределение фонда по операциям:
• Доля операции = Время_операции / Время_вида
• Фонд операции = Премиальный_фонд_вида × Доля_операции
Шаг 3.4. Распределение фонда операции между ролями:
• Ключевые операции: 100% → Исполнитель
• Не ключевые операции: 70% → Наставник, 30% → Стажёр (накопление)
• Неявные операции (матответственность): 100% → Бригадир/Звеньевой
• Неявные операции (контроль качества): 100% → Руководитель проекта</t>
  </si>
  <si>
    <t>Просмотр расчёта премиального фонда:
• Проверка базовых ставок
• Проверка распределения фонда по операциям
• Нажатие «Подтвердить премиальный фонд»
• Нажатие «Подтвердить ФОТ»</t>
  </si>
  <si>
    <t>Система:
• Фиксирует Бюджет ФОТ = 413 700 ₽ (не изменяется в ходе проекта)
• Распределяет премиальный фонд между операциями пропорционально трудоёмкости
• Подготавливает данные для расчёта двух сценариев</t>
  </si>
  <si>
    <t>☑ Исходные данные из КП ✅
☑ Декомпиляция вида работ на операции ✅
☑ Формирование ФОТ и Премиального фонда по видам работ ✅
☑ Расчёт «Специалисты» ⏳
☐ Расчёт «Опт. состав»
☐ Формирование итоговой сметы</t>
  </si>
  <si>
    <r>
      <rPr>
        <rFont val="Calibri"/>
        <color theme="1"/>
        <sz val="12.0"/>
      </rPr>
      <t>Шаг 4.1. Состав бригады:
• Минимальная численность = ⌈275,8 / (30 × 8)⌉ = 2 чел H_min = МАКС(
  ⌈V / (T_plan × ν)⌉,  // По норме выработки (без учёта сложности)
  ⌈Σ(Время_операцияᵢ × Коэф_сложности_операцияᵢ × Коэф_сложности_изделияⱼ) / (T_plan × 8)⌉  // С учётом сложности
) 
• Состав: все операции — специалисты по рыночной ставке 1 500 ₽/час
• Ключевые операции — специалисты × 1,8 (коэффициент ключевых)
Шаг 4.2. Расчёт ФОТ:
•Сумма ФОТ_специалистов по видам работ  = 413 700 ₽ (Расчет в предыдущем пункте)
Шаг 4.3. Накладные расходы: ( уже сделан выше)
• Аренда лесов/вышек: 30 000 ₽
• Аренда транспорта: 15 000 ₽
• Электроинструмент: 10 000 ₽
• Крепёж, метизы: 12 000 ₽
• СИЗ: 9 200 ₽
• Доставка материалов: 5 000 ₽
• Проезд исполнителей: 3 000 ₽
• Координация ПТО: 2 000 ₽
• ЭДО, связь: 1 000 ₽
• Страхование ГО: 17 500 ₽
• Инфраструктурные расходы</t>
    </r>
    <r>
      <rPr>
        <rFont val="Calibri"/>
        <color rgb="FFFF0000"/>
        <sz val="12.0"/>
      </rPr>
      <t xml:space="preserve"> (5%)</t>
    </r>
    <r>
      <rPr>
        <rFont val="Calibri"/>
        <color theme="1"/>
        <sz val="12.0"/>
      </rPr>
      <t xml:space="preserve">: 20 500 ₽
• Итого накладные: 115 200 ₽
Шаг 4.4. Итоговая себестоимость: 
• Резерв риска = (413 700 + 115 200) × </t>
    </r>
    <r>
      <rPr>
        <rFont val="Calibri"/>
        <color rgb="FFFF0000"/>
        <sz val="12.0"/>
      </rPr>
      <t>0,05</t>
    </r>
    <r>
      <rPr>
        <rFont val="Calibri"/>
        <color theme="1"/>
        <sz val="12.0"/>
      </rPr>
      <t xml:space="preserve"> = 26 445 ₽
• Себестоимость_специалисты = 413 700 + 115 200 + 26 445 = 555 345 ₽
Шаг 4.5. Маржа и рекомендуемая цена:
• Маржа_специалисты = (630 833 − 555 345) / 555 345 = +13,6%
• Целевая наценка (корпоративный):</t>
    </r>
    <r>
      <rPr>
        <rFont val="Calibri"/>
        <color rgb="FFFF0000"/>
        <sz val="12.0"/>
      </rPr>
      <t xml:space="preserve"> 18%</t>
    </r>
    <r>
      <rPr>
        <rFont val="Calibri"/>
        <color theme="1"/>
        <sz val="12.0"/>
      </rPr>
      <t xml:space="preserve">
• Рекомендуемая цена = 555 345 × 1,18 / 901,19 = 728 ₽/м² (подсвечивает целеным если ниже цены заказчика, желтым если выше)
Доступные действия:
• Просмотр всех расчётов
• Нажатие «Подтвердить расчёт»</t>
    </r>
  </si>
  <si>
    <t>Таблица сметы с индикаторами:
№ | Наименование работ | Ед. изм. | Кол-во | Цена за ед. | Сумма | С/к «Специалисты» | Маржа |
1 | Монтаж каркасов... | м² | 901,19 | 3 700 | 3 334 403 | 555 345 ₽ | +13,6% 🟡 |
2 | Монтаж заполнений... | м² | 901,19 | 2 460 | 2 216 927 | 420 000 ₽ | +18,2% 🟢 |
3 | Обдирание пленки... | м² | 901,19 | 200 | 180 238 | 36 000 ₽ | +22,1% 🟢 |
4 | Доводчики | шт | 42 | 1 250 | 52 500 | 8 400 ₽ | +15,4% 🟡 |
5 | Координаторы... | шт | 20 | 1 250 | 25 000 | 4 000 ₽ | +20,0% 🟢 |
Итого | | | 2 766,76 | — | 5 809 068 | 1 023 745 ₽ | +16,4% 🟡 |</t>
  </si>
  <si>
    <t>Просмотр расчёта «Специалисты»:
• Красные значения вводятся в поля если не стоят по умолчанию
• Анализ маржи по каждому виду работ (+13,6% 🟡)
• Сравнение с целевой наценкой (18%)
• Анализ рекомендуемой цены (728 ₽/м²)
• Нажатие «Подтвердить расчёт" по каждому виду работ</t>
  </si>
  <si>
    <t>Система:
• Фиксирует расчёт «Специалисты» во внутреннем приложении к договору
• Активирует сигнализацию 🟡 (маржа ниже целевой наценки)
• Подготавливает данные для перехода к Этапу 5 («Оптимальный состав»)
• Разблокирует кнопку «Далее» после подтверждения</t>
  </si>
  <si>
    <t>Этап 5 из 6
☑ Исходные данные из КП ✅
☑ Декомпиляция вида работ на операции ✅
☑ Формирование премиального фонда ✅
☑ Расчёт «Специалисты» ✅
☑ Расчёт «Опт. состав» ⏳
☐ Формирование итоговой сметы</t>
  </si>
  <si>
    <r>
      <rPr>
        <rFont val="Calibri"/>
        <color theme="1"/>
        <sz val="12.0"/>
      </rPr>
      <t xml:space="preserve">Шаг 5.1. Алгоритм подбора оптимального состава:
• Минимальная численность = 4 чел (расчёт из Этапа 4)
• Алгоритм назначения ролей:
— Бригадир: 1 чел (кол-во исполнителей ≥ 3)
— Специалисты на ключевые операции: 1 чел (установка кронштейнов, вертикальных/горизонтальных профилей, контроль геометрии)
— Стажёры на не ключевые операции: 2 чел (сборка каркасов, разноска, укрытие плёнкой)
Кол-во_стажёров = MIN(3,  // жёсткое ограничение — максимум 3 стажёра у одного наставника
  ОКРУГЛВНИЗ( (Время_не_ключевых_операций × 1.3) / (8 − Время_ключевых_операций_наставника)))
Где:
Время_не_ключевых_операций — суммарная трудоёмкость операций, делегируемых стажёрам (час), рассчитанная по нормативам справочника для объёма захватки
× 1.3 — буфер 30% на обучение (демонстрация, контрольные приёмки, коррекция ошибок)
8 — целевая продолжительность смены (час)
Время_ключевых_операций_наставника — время, которое наставник тратит на выполнение ключевых операций лично (час)
— Наставник: функции совмещает Бригадир (100% времени на обучение 2 стажёров) 
H_min (минимальная численность исполнителей)
Правило: ЕСЛИ H_min ≤ 2 → совмещение функций Бригадира со Специалистом-Наставником
ИНАЧЕ → назначение отдельного Бригадира
Шаг 5.2. Расчёт реального ФОТ:
• Ставка Стажёра = 600 ₽/час (базовая)
Базовая_ставка = 1,5 × Ставка_разнорабочего
 Ставка_разнорабочего — ставка разнорабочего в регионе (₽/час)
</t>
    </r>
    <r>
      <rPr>
        <rFont val="Calibri"/>
        <color rgb="FFFF0000"/>
        <sz val="12.0"/>
      </rPr>
      <t xml:space="preserve"> 1,5</t>
    </r>
    <r>
      <rPr>
        <rFont val="Calibri"/>
        <color theme="1"/>
        <sz val="12.0"/>
      </rPr>
      <t xml:space="preserve"> — коэффициент базовой ставки (фиксированный)
Ставка_стажёра = Базовая_ставка
Стажёр получает базовую ставку без надбавок
•Ставка Специалиста = 1 500 ₽/час (рыночная)
Ставка_специалиста = Рыночная_ставка_час
Рыночная_ставка_час — рыночная ставка специалиста по виду работ из справочника (₽/час)
• Ставка Бригадира = 1 500 × </t>
    </r>
    <r>
      <rPr>
        <rFont val="Calibri"/>
        <color rgb="FFFF0000"/>
        <sz val="12.0"/>
      </rPr>
      <t xml:space="preserve">1,10 </t>
    </r>
    <r>
      <rPr>
        <rFont val="Calibri"/>
        <color theme="1"/>
        <sz val="12.0"/>
      </rPr>
      <t xml:space="preserve">= 1 650 ₽/час </t>
    </r>
    <r>
      <rPr>
        <rFont val="Calibri"/>
        <color rgb="FFFF0000"/>
        <sz val="12.0"/>
      </rPr>
      <t>(+10%</t>
    </r>
    <r>
      <rPr>
        <rFont val="Calibri"/>
        <color theme="1"/>
        <sz val="12.0"/>
      </rPr>
      <t xml:space="preserve"> надбавка)
Ставка_бригадира = Рыночная_ставка_час × Коэф_бригадир
Коэф_бригадир — надбавка за бригадирство (</t>
    </r>
    <r>
      <rPr>
        <rFont val="Calibri"/>
        <color rgb="FFFF0000"/>
        <sz val="12.0"/>
      </rPr>
      <t>1,10 = +10%)</t>
    </r>
    <r>
      <rPr>
        <rFont val="Calibri"/>
        <color theme="1"/>
        <sz val="12.0"/>
      </rPr>
      <t xml:space="preserve">
• Надбавка за обучение = Σ(Фонд_операцииᵢ × </t>
    </r>
    <r>
      <rPr>
        <rFont val="Calibri"/>
        <color rgb="FFFF0000"/>
        <sz val="12.0"/>
      </rPr>
      <t>0,70</t>
    </r>
    <r>
      <rPr>
        <rFont val="Calibri"/>
        <color theme="1"/>
        <sz val="12.0"/>
      </rPr>
      <t xml:space="preserve"> / Время_бригадира) ×</t>
    </r>
    <r>
      <rPr>
        <rFont val="Calibri"/>
        <color rgb="FFFF0000"/>
        <sz val="12.0"/>
      </rPr>
      <t xml:space="preserve"> 2 стажёра</t>
    </r>
    <r>
      <rPr>
        <rFont val="Calibri"/>
        <color theme="1"/>
        <sz val="12.0"/>
      </rPr>
      <t xml:space="preserve"> = 150 ₽/час
Надбавка_за_обучение = Σᵢ (Фонд_операцииᵢ × 0,70) / Время_наставника × Кол_стажёров
 Фонд_операцииᵢ — премиальный фонд операции i (₽)
 </t>
    </r>
    <r>
      <rPr>
        <rFont val="Calibri"/>
        <color rgb="FFFF0000"/>
        <sz val="12.0"/>
      </rPr>
      <t>0,70</t>
    </r>
    <r>
      <rPr>
        <rFont val="Calibri"/>
        <color theme="1"/>
        <sz val="12.0"/>
      </rPr>
      <t xml:space="preserve"> — доля фонда операции, направляемая Наставнику (70%)
Время_наставника — время, затраченное Наставником на обучение (час)
Кол_стажёров — количество стажёров под обучением Наставника
• Итоговая ставка Бригадира/Наставника = 1 650 + 150 = 1 800 ₽/час
Ставка_бригадир_наставник = Ставка_бригадира + Надбавка_за_обучение
При совмещении функций Бригадира и Наставника надбавки суммируются
• Реальный ФОТ = (600 × 225) + (1 500 × 800) + (1 800 × 300) = 135 000 + 1 200 000 + 540 000 = 1 875 000 ₽
Реальный_ФОТ = Σⱼ (Ставка_исполнителяⱼ × Время_исполнителяⱼ)
 Ставка_исполнителяⱼ — итоговая ставка исполнителя j (₽/час), зависящая от роли:
— Стажёр: Базовая_ставка
— Специалист: Рыночная_ставка_час
— Бригадир: Рыночная_ставка_час × Коэф_бригадир
— Наставник: Рыночная_ставка_час + Надбавка_за_обучение
— Бригадир/Наставник: Рыночная_ставка_час × Коэф_бригадир + Надбавка_за_обучение
 Время_исполнителяⱼ — время, отработанное исполнителем j (час)
Σⱼ — суммирование по всем исполнителям бригады
Шаг 5.3. Экономия и дополнительная маржа:
• Бюджет ФОТ (из Этапа 3) = 2 650 000 ₽
• Экономия на ФОТ = 2 650 000 − 1 875 000 = 775 000 ₽
• Дополнительная маржа = 775 000 × (1 − 0,05) = 736 250 ₽ (минус </t>
    </r>
    <r>
      <rPr>
        <rFont val="Calibri"/>
        <color rgb="FFFF0000"/>
        <sz val="12.0"/>
      </rPr>
      <t>5%</t>
    </r>
    <r>
      <rPr>
        <rFont val="Calibri"/>
        <color theme="1"/>
        <sz val="12.0"/>
      </rPr>
      <t xml:space="preserve"> резерв риска)
Шаг 5.4. Накладные расходы (с учётом реального состава):
Все данные для расчетов из справочников
• Аренда лесов/вышек: 30 000 ₽ (фикс. на объект)
• Аренда транспорта: 15 000 ₽
• Электроинструмент: 10 000 ₽
• Крепёж, метизы: 12 000 ₽
• СИЗ: 4 × </t>
    </r>
    <r>
      <rPr>
        <rFont val="Calibri"/>
        <color rgb="FFFF0000"/>
        <sz val="12.0"/>
      </rPr>
      <t xml:space="preserve">450 </t>
    </r>
    <r>
      <rPr>
        <rFont val="Calibri"/>
        <color theme="1"/>
        <sz val="12.0"/>
      </rPr>
      <t>× 30 = 54 000 ₽ (4 чел × 450 ₽/день ×</t>
    </r>
    <r>
      <rPr>
        <rFont val="Calibri"/>
        <color rgb="FFFF0000"/>
        <sz val="12.0"/>
      </rPr>
      <t xml:space="preserve"> 30</t>
    </r>
    <r>
      <rPr>
        <rFont val="Calibri"/>
        <color theme="1"/>
        <sz val="12.0"/>
      </rPr>
      <t xml:space="preserve"> дней)
• Доставка материалов: 5 000 ₽
• Проезд исполнителей: </t>
    </r>
    <r>
      <rPr>
        <rFont val="Calibri"/>
        <color rgb="FFFF0000"/>
        <sz val="12.0"/>
      </rPr>
      <t>4 × 300 × 30</t>
    </r>
    <r>
      <rPr>
        <rFont val="Calibri"/>
        <color theme="1"/>
        <sz val="12.0"/>
      </rPr>
      <t xml:space="preserve"> = 36 000 ₽ (межгород </t>
    </r>
    <r>
      <rPr>
        <rFont val="Calibri"/>
        <color rgb="FFFF0000"/>
        <sz val="12.0"/>
      </rPr>
      <t xml:space="preserve">120 </t>
    </r>
    <r>
      <rPr>
        <rFont val="Calibri"/>
        <color theme="1"/>
        <sz val="12.0"/>
      </rPr>
      <t xml:space="preserve">км)
• Координация ПТО: </t>
    </r>
    <r>
      <rPr>
        <rFont val="Calibri"/>
        <color rgb="FFFF0000"/>
        <sz val="12.0"/>
      </rPr>
      <t>2 000 ₽</t>
    </r>
    <r>
      <rPr>
        <rFont val="Calibri"/>
        <color theme="1"/>
        <sz val="12.0"/>
      </rPr>
      <t xml:space="preserve">
• ЭДО, связь: 1 000 ₽
• Страхование ГО: 17 500 ₽
• Инфраструктурные расходы (</t>
    </r>
    <r>
      <rPr>
        <rFont val="Calibri"/>
        <color rgb="FFFF0000"/>
        <sz val="12.0"/>
      </rPr>
      <t>5%</t>
    </r>
    <r>
      <rPr>
        <rFont val="Calibri"/>
        <color theme="1"/>
        <sz val="12.0"/>
      </rPr>
      <t>) уже учтены в предыдущем пункте: (1 875 000 + 151 500) ×</t>
    </r>
    <r>
      <rPr>
        <rFont val="Calibri"/>
        <color rgb="FFFF0000"/>
        <sz val="12.0"/>
      </rPr>
      <t xml:space="preserve"> 0,05</t>
    </r>
    <r>
      <rPr>
        <rFont val="Calibri"/>
        <color theme="1"/>
        <sz val="12.0"/>
      </rPr>
      <t xml:space="preserve"> = 101 325 ₽
• Итого накладные: 267 825 ₽
Шаг 5.5. Итоговая себестоимость и маржа:
• Резерв риска = (1 875 000 + 267 825) × </t>
    </r>
    <r>
      <rPr>
        <rFont val="Calibri"/>
        <color rgb="FFFF0000"/>
        <sz val="12.0"/>
      </rPr>
      <t xml:space="preserve">0,05 </t>
    </r>
    <r>
      <rPr>
        <rFont val="Calibri"/>
        <color theme="1"/>
        <sz val="12.0"/>
      </rPr>
      <t>= 107 141 ₽
• Себестоимость_оптимальная = 1 875 000 + 267 825 + 107 141 = 2 249 966 ₽
• Маржа_оптимальная = (5 809 068 − 2 249 966) / 2 249 966 = +158,2%
Доступные действия:
• Просмотр всех расчётов
• Нажатие «Подтвердить расчёт»</t>
    </r>
  </si>
  <si>
    <t>Таблица сметы с индикаторами «Оптимальный состав»:
№ | Наименование работ | Ед. изм. | Кол-во | Цена за ед. | Сумма | С/к «Опт. состав» | Маржа (%) | Маржа (₽)
1 | Монтаж каркасов... | м² | 901,19 | 3 700 | 3 334 403 | 1 287 500 ₽ | +158,9% 🟢🟢 | +2 046 903 ₽
2 | Монтаж заполнений... | м² | 901,19 | 2 460 | 2 216 927 | 756 250 ₽ | +193,2% 🟢🟢 | +1 460 677 ₽
3 | Обдирание пленки... | м² | 901,19 | 200 | 180 238 | 66 216 ₽ | +171,8% 🟢🟢 | +114 022 ₽
4 | Доводчики | шт | 42 | 1 250 | 52 500 | 19 250 ₽ | +172,7% 🟢🟢 | +33 250 ₽
5 | Координаторы... | шт | 20 | 1 250 | 25 000 | 9 250 ₽ | +170,3% 🟢🟢 | +15 750 ₽
Итого | | | 2 766,76 | — | 5 809 068 | 2 148 466 ₽ | +158,2% 🟢🟢 | +3 660 602 ₽</t>
  </si>
  <si>
    <t>Просмотр расчёта «Оптимальный состав»:
• Анализ маржи по каждому виду работ (+158,2% 🟢🟢)
• Сравнение с расчётом «Специалисты» (+16,4% 🟡)
• Анализ экономии на ФОТ (775 000 ₽)
• Анализ абсолютной маржи в рублях (+3 660 602 ₽)
• Нажатие «Подтвердить расчёт" по каждому виду работ.</t>
  </si>
  <si>
    <t>Система:
• Фиксирует расчёт «Оптимальный состав» во внутреннем приложении к договору
• Активирует сигнализацию 🟢🟢 (маржа значительно выше целевой наценки 18%)
• Отображает сравнение двух сценариев:
— «Специалисты»: маржа +16,4% 🟡, маржа (₽) +4 785 323 ₽
— «Опт. состав»: маржа +158,2% 🟢🟢, маржа (₽) +3 660 602 ₽
• Подготавливает данные для перехода к Этапу 6 (формирование итоговой сметы)
• Разблокирует кнопку «Далее» после подтверждения</t>
  </si>
  <si>
    <t>Этап 6 из 6
☑ Исходные данные из КП ✅
☑ Декомпиляция вида работ на операции ✅
☑ Формирование премиального фонда ✅
☑ Расчёт «Специалисты» ✅
☑ Расчёт «Опт. состав» ✅
☑ Формирование итоговой сметы ⏳</t>
  </si>
  <si>
    <t>Кнопки переключения:
• [Смета] ☑
• [Затраты] ☐
Статус расчётов:
• Расчёт «Специалисты»: ✅ Подтверждён (+16,4% 🟡)
• Маржа «Специалисты»: +16,4% 🟡
• Расчёт «Опт. состав»: ✅ Подтверждён (+158,2% 🟢🟢)
• Маржа «Опт. состав»: +158,2% 🟢🟢
• Бюджет ФОТ: 2 650 000 ₽ (фиксирован)
• Реальный ФОТ: 1 875 000 ₽
• Экономия на ФОТ: 775 000 ₽
• Итоговая маржа проекта: +158,2% 🟢🟢
Доступные действия:
• ☑ Показать декомпозицию (активна только в режиме «Смета»)
• [Подтвердить расчёт]
• [Экспортировать в договор]</t>
  </si>
  <si>
    <t>Таблица итоговой сметы (режим «Смета» → «Предпросмотр»):
№ | Наименование работ | Ед. изм. | Кол-во | Цена за ед., ₽ | Сумма, ₽ | Этап ГПР |
1 | Монтаж каркасов, примыканий, укрытие плёнкой | м² | 901,19 | 3 700 | 3 334 403 | Этап 1 |
2 | Монтаж заполнений (стеклопакеты, планки) | м² | 901,19 | 2 460 | 2 216 927 | Этап 1 |
3 | Обдирание пленки со стеклопакетов | м² | 901,19 | 200 | 180 238 | Этап 2 |
4 | Доводчики | шт | 42 | 1 250 | 52 500 | Этап 2 |
5 | Координаторы открывания | шт | 20 | 1 250 | 25 000 | Этап 2 |
Итого | | | 2 766,76 | — | 5 809 068 | — |
⚠️ Правила отображения:
• Отображаются только виды работ (строки 1–5)
• Операции декомпиляции (1.1, 1.2...) скрыты
• Столбец «Статус» отсутствует</t>
  </si>
  <si>
    <t>1. Проверка итоговой таблицы Сметы:
• Убедиться, что отображаются только виды работ
• Проверить итоговую сумму (5 809 068 ₽)
2. При необходимости — нажатие «Показать декомпозицию»:
• Раскрываются операции под строкой вида работ (внутренний просмотр)
• Операции не экспортируются в договор
3. Нажатие «Подтвердить расчёт»:
• Система фиксирует все расчёты во внутреннем приложении к договору:
— Оба сценария («Специалисты» и «Опт. состав»)
— Бюджет ФОТ = 2 650 000 ₽
— Реальный ФОТ = 1 875 000 ₽
— Распределение премиального фонда по операциям и ролям
— Экономия на ФОТ = 775 000 ₽
4. Нажатие «Экспортировать в договор»:
• Генерация Приложения №1 в формате PDF
• Вставка колонтитула: «Приложение №1 к Договору № ___ от ___»
• Автоматическая нумерация страниц</t>
  </si>
  <si>
    <t>Система:
• Фиксирует расчёт во внутреннем приложении к договору с датой и временем подтверждения
• Разблокирует кнопку «Далее» для перехода к пункту 2 договора (Цена и порядок расчётов)
• Генерирует Приложение №1:
— Только виды работ (без операций 1.1, 1.2...)
— Без столбца «Статус»
— Без внутренних расчётов (ФОТ, премиальный фонд)
— Готово к подписанию Заказчиком и Подрядчиком
Важно: Все условия расчёта фиксируются и не изменяются в ходе проекта (исключение — допсоглашение при экспертных нормативах с оговоркой в договоре)</t>
  </si>
  <si>
    <t>Правило</t>
  </si>
  <si>
    <t>Реализация</t>
  </si>
  <si>
    <t>Операции после декомпиляции</t>
  </si>
  <si>
    <t>Внутренний расчёт (1.1, 1.2...), не отображаются в финальной Смете для Заказчика</t>
  </si>
  <si>
    <t>Столбец «Статус»</t>
  </si>
  <si>
    <t>Не отображается (относится к исполнению в Планировщике, а не к договору)</t>
  </si>
  <si>
    <t>Сигнализация 🟢/🟡/🔴</t>
  </si>
  <si>
    <t>Отображается только на уровне видов работ и итога Сметы (внутренний инструмент, не экспортируется в договор)</t>
  </si>
  <si>
    <t>Экспорт в договор</t>
  </si>
  <si>
    <t>Только из режима «Предпросмотр» → чистая таблица Сметы без операций и внутренних расчётов</t>
  </si>
  <si>
    <t>Фиксация условий</t>
  </si>
  <si>
    <t>После подтверждения все расчёты сохраняются во внутреннем приложении к договору и не изменяются в ходе проекта</t>
  </si>
  <si>
    <t>Приложение №1 Смета
Прогресс-бар:
☑ Исходные данные ✅
☐ Декомпиляция вида работ на операции ⏳
☐ Формирование ФОТ и Премиального фонда
☐ Расчёт «Специалисты»
☐ Расчёт «Опт. состав»
☐ Формирование итоговой сметы</t>
  </si>
  <si>
    <t>Кнопки переключения режимов:
• ☑ [Смета] (активна по умолчанию)
• ☐ [Затраты]
Список видов работ из КП:
• Монтаж каркасов, примыканий, укрытие плёнкой (901,19 м²)
• Монтаж заполнений (стеклопакеты, планки) (901,19 м²)
• Обдирание пленки со стеклопакетов (901,19 м²)
• Доводчики (42 шт)
• Координаторы открывания (20 шт)</t>
  </si>
  <si>
    <t>Режим «Смета»:
Таблица с видами работ:
№ | Наименование | Ед.изм. | Кол-во | Цена | Сумма | Этап ГПР | Норматив |
1 | Монтаж каркасов... | м² | 901,19 | 3 700 | 3 334 403 | Этап 1 | ⚠️ | ← курсор наведён на строку 1, флаг ⚠️ отображается в столбце «Норматив»</t>
  </si>
  <si>
    <t>1. Навести курсор на строку «Монтаж каркасов...» (№1) в нижней панели</t>
  </si>
  <si>
    <t>1. Под строкой 1 раскрывается иерархическая декомпозиция операций из единого Справочника операций:
├─ 1.1 | Сборка каркасов | м² | 901,19 | 700 | 630 833 | ⚠️ |
├─ 1.2 | Разноска по проёмам | м² | 901,19 | 300 | 270 357 | ⚠️ |
├─ 1.3 | Установка в проектное положение | м² | 901,19 | 1 500 | 1 351 785 | ✅ |
├─ 1.4 | Установка примыканий | п.м. | 1 500 | 650 | 975 000 | ✅ |
└─ 1.5 | Укрытие плёнкой | м² | 300 | 354,76 | 106 428 | ⚠️ |
2. Сумма операций 1.1–1.5 = сумма вида работ (3 334 403 ₽)
3. Прогресс-бар обновляется:
• ☑ Декомпиляция ✅
• ☐ Формирование ФОТ ⏳
4. Система отображает уведомление:
• «⚠️ Операции 1.1, 1.2, 1.5 имеют планируемый норматив. Требуется оговорка в договоре: „Цена подлежит уточнению после установления фактического норматива“»</t>
  </si>
  <si>
    <t>Единый источник данных:
• Справочник операций — содержит для каждой операции:
— Наименование, описание, проектный этап (10–50)
— Вид работ и тип изделия
— Единица измерения и норматив времени на единицу (час/ед.)
— Флаг «Планируемый норматив» ⚠️ — устанавливается автоматически, если отсутствует фактический норматив в справочнике
— Флаг «Фактический норматив» ✅ — устанавливается после фиксации норматива на основе выполненных работ
— Минимальное количество исполнителей
— Критерии приёмки качества
— Требования к квалификации исполнителя
— Ссылка на видеоинструкцию (облако)
— Триггеры для автоматического добавления зависимых операций
— Флаг «ключевая операция»
• КЭ.Э1.Буфер_времени (диапазон 0–100%, фиксируется в Конструкторе Экономики)
Данные из КП:
• Объёмы работ по видам (м², шт) — из сметы заказчика
• Группировка операций по видам работ — формируется в КП на основе сметы заказчика и Справочника операций
• Привязка видов работ к этапам ГПР — формируется в КП на основе:
— Согласованного графика поставок материалов от Заказчика
— Этапов сдачи работ (по захваткам)
— Этапов оплаты (по ГПР)
• Очередность операций — определяется захватками и технологической логикой из Справочника операций
Системные данные: 
Время_операции_ГПР (с учётом буфера направления) и «Время_операции_ФОТ» (с учётом буфера обучения).</t>
  </si>
  <si>
    <t>Алгоритм декомпозиции (единый источник — Справочник операций + КЭ.Э1):
Для_каждого_вида_работ:
Операции = Справочник_операций.Получить_операции(Вид_работ)
Для_каждой_операции:
Шаг 1 (Расчёт длительности для ГПР):
Время_ГПР = (Объём_работ × Норматив_времени) × (1 + КЭ.Э1.Буфер_времени / 100)
Шаг 2 (Назначение роли и трудоёмкости для ФОТ):
ЕСЛИ Операция.Флаг_фактический_норматив = нет
ТО Операция.Флаг_планируемый_норматив = да
Операция.Назначение_по_умолчанию = "Специалист"
Время_ФОТ = Объём_работ × Норматив_времени
ИНАЧЕ Операция.Назначение_по_умолчанию = "Стажёр_с_буфером_1.3"
Время_ФОТ = (Объём_работ × Норматив_времени) × 1,3
Примечание: Время_ГПР отображается в графике для Заказчика (с учётом буфера направления). Время_ФОТ используется для внутреннего расчёта затрат (с учётом буфера обучения 1,3 для стажёров).
Алгоритм расчёта фактического норматива (в Планировщике после выполнения):
Фактический_норматив = Среднее(Количество_операций_за_день[2..N])
где N — общее количество выполненных операций за день
Примечание: первая операция (индекс 1) исключается из расчёта как обучающая
Алгоритм валидации суммы:
ЕСЛИ Σ(Стоимость_операций_1.1_1.5) ≠ Стоимость_вида_работ_1
ТО Отобразить_предупреждение("Расхождение сумм: операции ≠ вид работ")
ИНАЧЕ Статус_валидации = "Валидно"
Алгоритм блокировки экспорта:
ЕСЛИ Существуют_операции_с_флагом_планируемый = да И Оговорка_в_договоре = нет
ТО Блокировать_экспорт = да
Подсказка("Добавьте оговорку: „Цена подлежит уточнению после установления фактического норматива“")</t>
  </si>
  <si>
    <t>• Критически важно: все операции берутся из единого Справочника операций — КД не формирует структуру проекта, а только читает данные, подготовленные в КП.
• Логика нормативов:
— Если в Справочнике отсутствует фактический норматив → система автоматически присваивает флаг «Планируемый норматив» ⚠️
— Такие операции при планировании автоматически назначаются специалисту или тяговому исполнителю (опытному работнику) для установления норматива
— Фактический норматив рассчитывается как среднее количество выполненных операций за день с исключением первой операции (обучающая, занимает больше времени)
— После фиксации норматива флаг меняется на «Фактический норматив» ✅ и операция может назначаться стажёрам (с буфером 1.3)
• Юридическая защита: при наличии операций с флагом ⚠️ система обязательно требует оговорку в договоре: «Цена подлежит уточнению после установления фактического норматива». Без оговорки экспорт договора блокируется.
• Группировка по видам работ и привязка к этапам ГПР формируются в КП, а не в КД:
— Направление → Вид работ — группировка по смете заказчика в КП
— Вид работ → Конструкции → Изделия → Операции — назначение из Справочника операций в КП с учётом захваток
— Этапы сдачи/оплаты — привязка в КП на основе согласованных графиков поставок материалов, сдачи и оплаты от Заказчика
• Декомпозиция операций (1.1, 1.2...) — внутренний расчёт, не отображается в финальной смете для Заказчика (только виды работ 1–5 экспортируются в договор)
• Сумма операций должна точно соответствовать сумме вида работ — система блокирует переход при расхождении &gt;0,1%
• Время_ГПР отображается в графике для Заказчика (с учётом буфера направления).
• Буфер времени КЭ.Э1 увеличивает сроки в ГПР, но не отображается детально Заказчику. Буфер 1,3 влияет на трудоёмкость стажёра в Конструкторе Кадров и Смете (Затраты)</t>
  </si>
  <si>
    <t>2 (продолжение)</t>
  </si>
  <si>
    <t>Приложение №1 Смета
Прогресс-бар:
☑ Исходные данные ✅
☑ Декомпиляция вида работ на операции ✅
☐ Формирование ФОТ и Премиального фонда ⏳
☐ Расчёт «Специалисты»
☐ Расчёт «Опт. состав»
☐ Формирование итоговой сметы</t>
  </si>
  <si>
    <t>Кнопки переключения режимов:
• ☐ [Смета]
• ☑ [Затраты] (активирована)
Список статей затрат (из Справочника операций и справочника накладных):
• ☑ ФОТ (фонд оплаты труда)
• ☑ Материалы (основные)
• ☑ Материалы (вспомогательные)
• ☑ Инструмент (аренда/износ)
• ☑ Оборудование (аренда)
• ☑ Логистика (доставка)
• ☑ СИЗ (средства индивидуальной защиты)
• ☑ Администрирование (ПТО, связь)
• ☑ Страхование ГО
• ☑ Инфраструктурные расходы</t>
  </si>
  <si>
    <t>Режим «Затраты»:
Таблица затрат по проекту:
Категория | Сумма, ₽ | Доля |
ФОТ | 1 875 000 | 32,3% | ← курсор наведён на строку «ФОТ»
Материалы (основные) | 1 245 000 | 21,4% |
Материалы (вспомогательные) | 180 000 | 3,1% |
Инструмент | 125 000 | 2,2% |
Оборудование | 200 000 | 3,4% |
Логистика | 85 000 | 1,5% |
СИЗ | 45 000 | 0,8% |
Администрирование | 90 000 | 1,6% |
Страхование ГО | 17 500 | 0,3% |
Инфраструктурные | 232 500 | 4,0% |
ИТОГО | 4 095 000 | 70,6% |
Уведомление системы (жёлтая полоса):
«Применены коэффициенты: инфраструктурные расходы = 5% от (ФОТ + накладные); СИЗ = 450 ₽/день/чел × 4 чел × 30 дней»</t>
  </si>
  <si>
    <t>1. Нажать кнопку [Затраты] в правой панели для переключения режима
2. Навести курсор на строку «ФОТ» в нижней панели</t>
  </si>
  <si>
    <t>1. Система отображает расширенную таблицу затрат с детализацией по статьям из справочника накладных расходов
2. При наведении на строку «ФОТ» раскрывается детализация по ролям:
Роль | Ставка, ₽/час | Время, час | Сумма, ₽ |
Специалист | 1 500 | 800 | 1 200 000 |
Наставник | 1 800 | 300 | 540 000 |
Стажёр | 600 | 225 | 135 000 |
ИТОГО ФОТ | | 1 325 | 1 875 000 |
3. Система отображает уведомление о применённых коэффициентах:
• Инфраструктурные расходы = 5% (из справочника)
• СИЗ = 450 ₽/день/чел (из справочника СИЗ)
• Проезд исполнителей = 300 ₽/день/чел × 120 км (расстояние из п. 1.1)</t>
  </si>
  <si>
    <t>Справочники:
• Справочник операций — источник данных для расчёта ФОТ (время операций, нормативы, флаги нормативов)
• Справочник накладных расходов — перечень допустимых статей с привязкой к источникам расчёта:
— СИЗ: 450 ₽/день/чел (стандарт для монтажных работ)
— Логистика: 300 ₽/день/чел для межгород (&gt;100 км), 150 ₽/день/чел для города (≤100 км)
— Инфраструктурные расходы: 5–7% от (ФОТ + накладные)
— Страхование ГО: 0,3% от общей стоимости договора
Системные данные из КП:
• Кол_исполнителей = 4 чел (из расчёта минимальной численности в КП)
• Расстояние_до_объекта = 120 км (из п. 1.1)
• Срок_выполнения = 30 дней (из ГПР в КП)
• Флаг «Статья_фиксированная» — для статей без зависимости от объёма (аренда лесов)</t>
  </si>
  <si>
    <t>Алгоритм расчёта накладных (только сумма статей из справочника):
СИЗ = Кол_исполнителей × Норма_СИЗ × Срок_выполнения
Проезд = Кол_исполнителей × Норма_проезда(Расстояние) × Срок_выполнения
Инфраструктурные = (ФОТ + Σ(Накладные_без_инфраструктурных)) × Коэф_инфраструктурных
Алгоритм валидации статей:
ЕСЛИ Статья ∉ Справочник_накладных
ТО Статья_валидна = нет, Подсветка_красным
ИНАЧЕ Статья_валидна = да
Правило запрета процентных расчётов для накладных:
ЕСЛИ Статья = "Накладные" И Расчёт_процентом = да И Статья ≠ "Инфраструктурные"
ТО Блокировка_сохранения = да, Подсказка("Накладные рассчитываются только как сумма конкретных статей из справочника")
Алгоритм уведомления о коэффициентах:
При_открытии_режима_Затраты:
Отобразить_уведомление("Применены коэффициенты: инфраструктурные = " + Коэф_инфраструктурных + "; СИЗ = " + Норма_СИЗ + " ₽/день/чел")</t>
  </si>
  <si>
    <t>• Критически важно: накладные расходы рассчитываются только как сумма конкретных статей из справочника (аренда, СИЗ, доставка и т.д.) — запрещены процентные расчёты от ФОТ или объёма (кроме инфраструктурных расходов 5–7%, которые являются обязательной статьёй с первого объекта)
• Все коэффициенты (5% инфраструктурных, 450 ₽ СИЗ, 300 ₽ проезд) вынесены в справочники и отображаются в уведомлении при открытии режима «Затраты»
• Статьи «ФОТ» и «Инфраструктурные расходы» имеют двойную природу:
— ФОТ участвует в расчёте инфраструктурных (5% от ФОТ)
— Инфраструктурные не участвуют в расчёте самих себя (рекурсия запрещена)
• Режим «Затраты» — внутренний инструмент для Руководителя проекта, не экспортируется в договор
• Данные для расчёта ФОТ берутся из Справочника операций через КП (время операций, нормативы, флаги нормативов), а не из отдельного справочника видов работ</t>
  </si>
  <si>
    <t>Форма «Расчёт ФОТ — сценарий „Специалисты“»
Исходные данные (только просмотр):
• Рыночная ставка специалиста = 1 500 ₽/час (из Шага 1)
• Ставка ключевых операций = 1 500 × 1,8 = 2 700 ₽/час (из Шага 1)
• Общее время операций = 1 325 час (из Шага 2)
Расчёт ФОТ:
• Время ключевых операций = 450 час × 2 700 ₽ = 1 215 000 ₽
• Время остальных операций = 875 час × 1 500 ₽ = 1 312 500 ₽
• Итого ФОТ („Специалисты“) = 2 527 500 ₽
Кнопка: [Подтвердить расчёт]</t>
  </si>
  <si>
    <t>Таблица ФОТ — сценарий «Специалисты»:
Операция | Время, час | Ставка, ₽/час | Сумма, ₽ |
Сборка каркасов | 210 | 1 500 | 315 000 |
Разноска по проёмам | 90 | 1 500 | 135 000 |
Установка в проектное положение | 300 | 2 700 | 810 000 | ⚠️ ключевая
Установка примыканий | 150 | 2 700 | 405 000 | ⚠️ ключевая
Укрытие плёнкой | 60 | 1 500 | 90 000 |
... (остальные операции) | 515 | 1 500 | 772 500 |
ИТОГО | 1 325 | — | 2 527 500 |</t>
  </si>
  <si>
    <t>1. Просмотреть автоматический расчёт ФОТ для сценария «Специалисты»
2. Проверить корректность распределения ключевых операций (флаг ⚠️)
3. Нажать кнопку [Подтвердить расчёт]</t>
  </si>
  <si>
    <t>1. Система фиксирует расчёт ФОТ «Специалисты» = 2 527 500 ₽ в проекте КД
2. Прогресс-бар обновляется:
• ☑ Формирование ФОТ (Специалисты) ✅
• ☐ Формирование ФОТ (Опт. состав) ⏳
3. Система отображает уведомление:
• «Сценарий „Специалисты“: ФОТ = 2 527 500 ₽. Используется для аргументации цены заказчику в Приложении №1»</t>
  </si>
  <si>
    <t>Справочники:
• Справочник операций — источник данных о времени операций и флаге «ключевая операция»
• Справочник коэффициентов:
— Коэффициент_ключевых = 1,8 (поле ввода)
— Коэффициент_базовой_ставки = 1,5 (поле ввода)
Системные данные:
• Поле «ФОТ_Специалисты» — сумма расчёта для сценария «Специалисты»
• Флаг «ФОТ_Специалисты_подтверждён»</t>
  </si>
  <si>
    <t>Алгоритм расчёта ФОТ (сценарий «Специалисты»):
ФОТ_Специалисты = Σ(Время_операции × Ставка_операции)
где Ставка_операции =
ЕСЛИ Операция.Флаг_ключевая = да
ТО Рыночная_ставка × Коэф_ключевых (1,8)
ИНАЧЕ Рыночная_ставка
Алгоритм валидации:
ЕСЛИ ФОТ_Специалисты ≠ 0
ТО Флаг_подтверждения = да
ИНАЧЕ Флаг_подтверждения = нет, Подсказка("Ошибка расчёта ФОТ")</t>
  </si>
  <si>
    <t>• Сценарий «Специалисты» — гипотетический расчёт для аргументации цены заказчику. В реальности работы выполняются по сценарию «Оптимальный состав» с наставничеством.
• Ключевые операции (флаг ⚠️ в Справочнике операций) используют ставку ×1,8 — это отражает повышенную ответственность и сложность.
• Расчёт ФОТ «Специалисты» не используется для внутреннего планирования и оплаты исполнителей — только для формирования цены в договоре.
• Все коэффициенты (1,8 для ключевых) отображаются в уведомлении при подтверждении расчёта.</t>
  </si>
  <si>
    <t>Форма «Расчёт ФОТ — сценарий „Оптимальный состав“»
Исходные данные (только просмотр):
• Базовая ставка = 400 × 1,5 = 600 ₽/час (из Шага 1)
• Ставка стажёра = 600 ₽/час (базовая ставка)
• Ставка специалиста = 1 500 ₽/час (рыночная)
• Ставка наставника = 1 500 × 1,2 = 1 800 ₽/час (надбавка 20%)
• Буфер обучения = 1,3 (30% дополнительного времени)
• Премиальный фонд = 30% от ФОТ операции
Расчёт ФОТ (с учётом видеоинструкций):
• КП проверяет наличие видеоинструкции в Справочнике операций
• Пустая ссылка → Буфер 1,3 (+30% времени)
• Есть ссылка → Буфер 1,15 (+15% времени)
• Время стажёров (с буфером 1,3/1,15) = 875 час × 1,3/1,15 × 600 ₽ = 682 500 ₽
• Время наставников = 450 час × 1 800 ₽ = 810 000 ₽
• Базовый ФОТ („Опт. состав“) = 1 492 500 ₽
Расчёт премиального фонда:
• Премиальный фонд операций = 1 492 500 × 0,30 = 447 750 ₽
— 70% наставнику = 313 425 ₽
— 30% стажёру (накопление) = 134 325 ₽
• Итого ФОТ с премиальным фондом = 1 940 250 ₽
Кнопка: [Подтвердить расчёт]</t>
  </si>
  <si>
    <t>Таблица ФОТ — сценарий «Оптимальный состав»:
Роль | Время, час | Ставка, ₽/час | Сумма, ₽ |
Стажёр (с буфером 1,3) | 1 137,5 | 600 | 682 500 |
Наставник | 450 | 1 800 | 810 000 |
Базовый ФОТ | 1 587,5 | — | 1 492 500 |
Премиальный фонд (30%) | — | — | 447 750 |
— Наставник (70%) | — | — | 313 425 |
— Стажёр (30%) | — | — | 134 325 |
ИТОГО ФОТ | — | — | 1 940 250 |
Уведомление системы (жёлтая полоса):
«Применены коэффициенты: буфер обучения = 1,3; премиальный фонд = 30% (70/30 наставник/стажёр); надбавка наставнику = 20%»</t>
  </si>
  <si>
    <t>1. Просмотреть автоматический расчёт ФОТ для сценария «Оптимальный состав»
2. Проверить корректность распределения ролей (стажёры с буфером 1,3, наставники)
3. Проверить распределение премиального фонда (70/30)
4. Нажать кнопку [Подтвердить расчёт]</t>
  </si>
  <si>
    <t>1. Система фиксирует расчёт ФОТ «Оптимальный состав» = 1 940 250 ₽ в проекте КД
2. Прогресс-бар обновляется:
• ☑ Формирование ФОТ и Премиального фонда ✅
• ☐ Расчёт «Специалисты» ⏳
3. Система отображает уведомление:
• «Сценарий „Оптимальный состав“: ФОТ = 1 940 250 ₽. Используется для внутреннего планирования и оплаты исполнителей»</t>
  </si>
  <si>
    <t>Справочники:
• Справочник операций — источник данных о времени операций, флаге «ключевая операция», нормативах
• Справочник коэффициентов:
— Коэффициент_буфера_обучения = 1,3 (поле ввода)
— Коэффициент_премиального_фонда = 0,30 (30%, поле ввода)
— Распределение_премиального_фонда = 0,70/0,30 (наставник/стажёр, поля ввода)
— Надбавка_наставнику = 1,20 (20%, поле ввода)
Системные данные:
• Поле «ФОТ_Оптимальный_состав» — сумма расчёта для сценария «Оптимальный состав»
• Поле «Премиальный_фонд» — 30% от базового ФОТ
• Флаг «ФОТ_Оптимальный_подтверждён»
• Алгоритм каскадного наставничества:
— Количество стажёров = функция(объём_захватки, время_операций)
— Загрузка исполнителей = 6–8 час/день (равномерная)</t>
  </si>
  <si>
    <t>Алгоритм расчёта ФОТ (сценарий «Оптимальный состав»):
Базовый_ФОТ = (Время_стажёров × Буфер_обучения × Ставка_стажёра) + (Время_наставников × Ставка_наставника)
Премиальный_фонд = Базовый_ФОТ × Коэф_премиального_фонда (0,30)
ФОТ_итого = Базовый_ФОТ + Премиальный_фонд
Алгоритм распределения премиального фонда:
Премия_наставнику = Премиальный_фонд × Доля_наставника (0,70)
Накопление_стажёра = Премиальный_фонд × Доля_стажёра (0,30)
Алгоритм каскадного наставничества (для планирования в КП):
Количество_стажёров = Округлить_вверх(Объём_захватки / (Норматив_операции × Смена_8ч))
Пока Стажёр.Статус ≠ "Специалист_по_операции":
Наставник.Загрузка = 100%
Стажёр.Загрузка = 100%
После_прохождения_цикла:
Стажёр.Статус = "Специалист_по_операции"
Стажёр.Роль = "Наставник_по_операции"
Наставник.Освобождается_для_нового_стажёра</t>
  </si>
  <si>
    <t>• Сценарий «Оптимальный состав» — реальный расчёт для внутреннего планирования и оплаты исполнителей. Использует каскадное наставничество для снижения себестоимости.
• Ключевой экономический принцип Орбит: стажёры со ставкой ниже рыночной (600 ₽/час против 1 500 ₽/час) снижают реальную себестоимость относительно фиксированного бюджета ФОТ. Разница превращается в дополнительную маржу + развивается кадровый пул.
• Буфер 1,3 — 30% дополнительного времени для обучения стажёра. После прохождения полного цикла операций стажёр становится специалистом по операции и может обучать других стажёров без роста общей численности бригады.
• Премиальный фонд 30% распределяется 70/30:
— 70% наставнику — немедленная премия за обучение
— 30% стажёру — накопление до перехода в статус специалиста (мотивация завершить обучение)
• Все коэффициенты (1,3 буфер, 30% премиальный фонд, 70/30 распределение, 20% надбавка наставнику) вынесены в справочники и отображаются в уведомлении при подтверждении расчёта.
• Разница между сценариями:
— ФОТ «Специалисты» = 2 527 500 ₽
— ФОТ «Оптимальный состав» = 1 940 250 ₽
— Экономия = 587 250 ₽ → дополнительная маржа проекта</t>
  </si>
  <si>
    <t>Приложение №1 Смета
Прогресс-бар:
☑ Исходные данные ✅
☑ Декомпиляция ✅
☑ Формирование ФОТ ✅
☐ Расчёт «Специалисты» ⏳
☐ Расчёт «Опт. состав»
☐ Формирование итоговой сметы</t>
  </si>
  <si>
    <t>Сценарий «Специалисты» (ГИПОТЕТИЧЕСКИЙ)
Шаг 4.1. Состав бригады:
• Минимальная численность: H_min = ⌈2 766,76 / (30 × 8)⌉ = 12 чел
• Состав бригады:
— Все операции выполняются рыночными специалистами (вне системы Орбиты)
— [Колонка: Коэффициент ключевых]: 1,0 (без ×1,8) — коэффициент 1,8 НЕ применяется в сценарии «Специалисты»
— Все операции оплачиваются по единой рыночной ставке 1 500 ₽/час
[Колонка: Примечание]
• Коэффициент 1,8 — внутренний мотивационный механизм Орбиты, НЕ рыночный параметр
• В гипотетическом сценарии «Специалисты» все операции оплачиваются по единой рыночной ставке 1 500 ₽/час
• Этот сценарий НЕ используется для внутреннего планирования и оплаты исполнителей — только для аргументации цены заказчику</t>
  </si>
  <si>
    <t>Таблица сметы с индикаторами «Специалисты»:
№ | Наименование | Ед.изм. | Кол-во | Цена | Сумма | С/к «Спец.» | Маржа
1 | Монтаж каркасов... | м² | 901,19 | 3 700 | 3 334 403 | 1 215 000 | +174,5% 🟢
...
Итого | | | 2 766,76 | — | 5 809 068 | 2 784 233 | +108,7% 🟢
Уведомление системы (жёлтая полоса):
«⚠️ Коэффициент 1,8 для ключевых операций НЕ применяется в сценарии „Специалисты"»</t>
  </si>
  <si>
    <t>1. Просмотреть автоматический расчёт сценария «Специалисты»
2. Проверить состав бригады (12 чел — все рыночные специалисты)
3. Убедиться, что ключевые операции НЕ имеют повышающего коэффициента 1,8
4. Нажать кнопку [Подтвердить расчёт]</t>
  </si>
  <si>
    <t>1. Система фиксирует расчёт «Специалисты» во внутреннем приложении к договору
2. Прогресс-бар обновляется:
• ☑ Расчёт «Специалисты» ✅
• ☐ Расчёт «Опт. состав» ⏳
3. Система отображает сравнение с целевой наценкой</t>
  </si>
  <si>
    <t>Справочники:
• Справочник операций (флаг «ключевая операция» игнорируется)
• Справочник коэффициентов (Инфраструктурные 5%, Резерв 5%)
Системные данные:
• Объём_работ = 2 766,76
• Срок_выполнения = 30 дней
• Кол_исполнителей = 12 чел</t>
  </si>
  <si>
    <t>Алгоритм расчёта ФОТ (сценарий «Специалисты»):
ФОТ_Специалисты = Σ(Время_операции × Рыночная_ставка)
где Рыночная_ставка = 1 500 ₽/час для ВСЕХ операций (включая ключевые)
Флаг_ключевая_операция ИГНОРИРУЕТСЯ в этом сценарии
Алгоритм расчёта накладных:
Накладные = Σ(Статья_из_справочника × Норма × Кол_исполнителей × Срок)
Алгоритм расчёта себестоимости:
Резерв_риска = (ФОТ + Накладные) × 0,05
Себестоимость = ФОТ + Накладные + Резерв_риска</t>
  </si>
  <si>
    <t>• Источник маржи — Экономия на ФОТ (НЕ снижение оплаты исполнителям). (Корректировка №12)
• Критически важно: сценарий «Специалисты» — гипотетический расчёт для аргументации цены заказчику. Предполагает найм специалистов вне системы Орбиты по рыночным ставкам без внутренних мотивационных коэффициентов.
• Коэффициент 1,8 НЕ применяется к ключевым операциям в этом сценарии — это внутренний мотивационный механизм Орбиты, а не рыночный параметр (Корректировка №10). В сценарии «Специалисты» все операции оплачиваются по единой рыночной ставке 1 500 ₽/час.
• Принцип оплаты: В реальном сценарии («Оптимальный состав») исполнители получают оплату ВЫШЕ рынка (Стажёр 510 ₽/час vs 340 ₽/час, Специалист ≥1 500 ₽/час vs 1 000 ₽/час). Маржа формируется за счёт оптимизации численности (смешанная команда), а не снижения ставок.
• Накладные расходы рассчитываются только как сумма конкретных статей из справочника — запрещены процентные расчёты от ФОТ или объёма (кроме инфраструктурных 5%).
• Резерв риска 5% — обязательная статья для покрытия непредвиденных расходов.
• Сигнализация 🟢 означает, что маржа значительно превышает целевую наценку (18%) — проект экономически выгоден даже при гипотетическом сценарии без системы Орбиты.
• Коэффициент 1,8 будет применён только в Шаге 5 (сценарий «Оптимальный состав») как мотивационный инструмент для специалистов внутри системы Орбиты.</t>
  </si>
  <si>
    <t>Приложение №1 Смета
Прогресс-бар:
☑ Расчёт «Специалисты» ⏳</t>
  </si>
  <si>
    <t>Шаг 4.2. Расчёт ФОТ:
• Время всех операций = 1 325 час × 1 500 ₽ = 1 987 500 ₽
• Итого ФОТ = 1 987 500 ₽</t>
  </si>
  <si>
    <t>Детализация ФОТ:
• Время операций: 1 325 час
• Ставка: 1 500 ₽/час
• ФОТ: 1 987 500 ₽</t>
  </si>
  <si>
    <t>1. Проверить расчёт ФОТ
2. Нажать [Подтвердить ФОТ]</t>
  </si>
  <si>
    <t>1. Система фиксирует ФОТ
2. Переход к Шагу 4.3</t>
  </si>
  <si>
    <t>Системные данные:
• Время_операций (из Шага 2)
• Ставка_рыночная (из Шага 1)</t>
  </si>
  <si>
    <t>Алгоритм:
ФОТ = Время_всех_операций × Рыночная_ставка
Где Рыночная_ставка = 1 500 ₽/час (единая для всех)</t>
  </si>
  <si>
    <t>Приложение №1 Смета
Прогресс-бар:
☑ Расчёт ФОТ ⏳</t>
  </si>
  <si>
    <t>Шаг 4.3. Накладные расходы:
• Аренда лесов/вышек: 30 000 ₽
• Аренда транспорта: 15 000 ₽
• Электроинструмент: 10 000 ₽
• Крепёж, метизы: 12 000 ₽
• СИЗ: 12 чел × 450 ₽/день × 30 дней = 162 000 ₽
• Проезд исполнителей: 12 чел × 300 ₽/день × 30 дней = 108 000 ₽
• Координация ПТО: 2 000 ₽
• ЭДО, связь: 1 000 ₽
• Страхование ГО: 17 500 ₽
• Инфраструктурные расходы: (1 987 500 + 345 500) × 0,05 = 116 650 ₽
• Итого накладные = 664 150 ₽</t>
  </si>
  <si>
    <t>Таблица накладных расходов:
• СИЗ: 162 000 ₽
• Логистика: 108 000 ₽
• Аренда: 45 000 ₽
• Инфраструктурные: 116 650 ₽
• Итого: 664 150 ₽</t>
  </si>
  <si>
    <t>1. Проверить статьи накладных
2. Нажать [Подтвердить накладные]</t>
  </si>
  <si>
    <t>1. Система фиксирует накладные
2. Переход к Шагу 4.4</t>
  </si>
  <si>
    <t>Справочники:
• Справочник накладных расходов (СИЗ 450 ₽/день, Логистика 300 ₽/день)
• Коэффициент_инфраструктурных = 0,05</t>
  </si>
  <si>
    <t>Алгоритм:
Накладные = Σ(Статья × Норма × Кол_исполнителей × Срок)
Инфраструктурные = (ФОТ + Σ(Накладные_без_инфра)) × 0,05</t>
  </si>
  <si>
    <t>Приложение №1 Смета
Прогресс-бар:
☑ Накладные ⏳</t>
  </si>
  <si>
    <t>Шаг 4.4. Итоговая себестоимость:
• Резерв риска = (1 987 500 + 664 150) × 0,05 = 132 583 ₽
• Себестоимость_специалисты = 1 987 500 + 664 150 + 132 583 = 2 784 233 ₽</t>
  </si>
  <si>
    <t>Калькуляция себестоимости:
• ФОТ: 1 987 500 ₽
• Накладные: 664 150 ₽
• Резерв: 132 583 ₽
• Итого: 2 784 233 ₽</t>
  </si>
  <si>
    <t>1. Проверить итоговую себестоимость
2. Нажать [Подтвердить себестоимость]</t>
  </si>
  <si>
    <t>1. Система фиксирует себестоимость
2. Переход к Шагу 4.5</t>
  </si>
  <si>
    <t>Системные данные:
• ФОТ (из Шага 4.2)
• Накладные (из Шага 4.3)
• Коэффициент_резерва = 0,05</t>
  </si>
  <si>
    <t>Алгоритм:
Резерв_риска = (ФОТ + Накладные) × 0,05
Себестоимость = ФОТ + Накладные + Резерв_риска</t>
  </si>
  <si>
    <t>Приложение №1 Смета
Прогресс-бар:
☑ Себестоимость ⏳</t>
  </si>
  <si>
    <t>Шаг 4.5. Маржа и рекомендуемая цена:
• Маржа_специалисты = (5 809 068 − 2 784 233) / 2 784 233 = +108,7%
• Целевая наценка (корпоративный): 18%
• Рекомендуемая цена = 2 784 233 × 1,18 / 2 766,76 = 1 190 ₽/ед. (значительно ниже согласованной 3 700 ₽/м² → 🟢)</t>
  </si>
  <si>
    <t>Индикаторы маржи:
• Маржа: +108,7% 🟢
• Целевая: 18%
• Рекомендованная цена: 1 190 ₽/ед.
• Согласованная цена: 3 700 ₽/ед. 🟢</t>
  </si>
  <si>
    <t>1. Проверить маржу и цену
2. Нажать [Подтвердить расчёт]</t>
  </si>
  <si>
    <t>1. Система фиксирует маржу
2. Прогресс-бар обновляется:
• ☑ Расчёт «Специалисты» ✅
• ☐ Расчёт «Опт. состав» ⏳</t>
  </si>
  <si>
    <t>Системные данные:
• Цена_заказчика (из Сметы)
• Себестоимость (из Шага 4.4)
• Целевая_наценка (из КЭ)</t>
  </si>
  <si>
    <t>Алгоритм:
Маржа_процент = (Цена_заказчика − Себестоимость) / Себестоимость × 100%
Рекомендуемая_цена = Себестоимость × (1 + Целевая_наценка) / Объём</t>
  </si>
  <si>
    <t>Приложение №1 Смета
Прогресс-бар:
☑ Исходные данные ✅
☑ Декомпиляция ✅
☑ Формирование ФОТ ✅
☑ Расчёт «Специалисты» ✅
☐ Расчёт «Опт. состав» ⏳
☐ Формирование итоговой сметы</t>
  </si>
  <si>
    <t>Форма «Сравнение сценариев и рыночная цена»
Блок 1: Сравнение сценариев (ДВА КОНТУРА)
[Колонка: Сценарий 1 — КОНТУР 1]
• Сценарий «Специалисты» (гипотетический):
— Коэффициент = 1,0 (без обучения)
— Себестоимость = 2 784 233 ₽
— Маржа = +108,7% 🟢
— Назначение: Аргументация цены заказчику (Приложение №1)
[Колонка: Сценарий 2 — КОНТУР 2]
• Сценарий «Оптимальный состав» (реальный):
— Коэффициент = 1,15/1,3 (с обучением)
— Коэффициент ключевых = 1,8 (КЭ.Э6, диапазон 1,5–2,0)
— Себестоимость = 3 938 144 ₽
— Маржа = +47,5% 🟢🟢
— Назначение: Внутреннее планирование и оплата (СП)
[Колонка: Фиксация]
• Экономия на ФОТ = 520 750 ₽ (разница базовых ФОТ сценариев)
• Оба сценария фиксируются во внутреннем приложении к договору
• НЕ изменяются в ходе проекта (даже при переходе стажёра в статус специалиста)
• Изменение возможно ТОЛЬКО через допсоглашение при наличии оговорки в договоре
Блок 2: Сравнение с рыночной ценой
• Поле «Рыночная цена» (из КД после этапа анализа/скоринга)
• Согласованная цена заказчика: +25,8% выше рыночной 🟢
Блок 3: Проверка оговорок
• Операции с флагом «Планируемый норматив» ⚠️
• Статус оговорки: ☑ «Цена подлежит уточнению после установления фактического норматива»
Доступные действия:
• Просмотреть сравнение сценариев и рыночных цен
• Убедиться, что оговорка о планируемых нормативах проставлена (галочка ☑)
• Нажать кнопку [Сформировать итоговую смету]</t>
  </si>
  <si>
    <t>Итоговая таблица сметы для экспорта:
№ | Наименование | Ед.изм. | Кол-во | Цена | Сумма | Рыночная | Отклонение
1 | Монтаж каркасов... | м² | 901,19 | 3 700 | 3 334 403 | 2 800 | +32,1% 🟢
2 | Монтаж заполнений... | м² | 901,19 | 2 460 | 2 216 927 | 1 950 | +26,2% 🟢
3 | Обдирание пленки... | м² | 901,19 | 200 | 180 238 | 180 | +11,1% 🟢
4 | Доводчики | шт | 42 | 1 250 | 52 500 | 1 100 | +13,6% 🟢
5 | Координаторы... | шт | 20 | 1 250 | 25 000 | 1 000 | +25,0% 🟢
Итого | | | 2 766,76 | — | 5 809 068 | — | +25,8% 🟢
Уведомление системы (жёлтая полоса):
«✅ Проект принят к исполнению: маржа +47,5% &gt; целевой 18%; цена выше рыночной на 25,8%»</t>
  </si>
  <si>
    <t>1. Просмотреть сравнение сценариев и рыночных цен
2. Убедиться, что оговорка о планируемых нормативах проставлена (галочка ☑)
3. Нажать кнопку [Сформировать итоговую смету]</t>
  </si>
  <si>
    <t>1. Система формирует итоговую смету для экспорта в Приложение №1:
• Экспортируются ТОЛЬКО столбцы: Наименование, Ед.изм., Кол-во, Цена, Сумма, Этап ГПР
• Столбцы себестоимости, маржи, рыночной цены — НЕ экспортируются (внутреннее использование)
2. Система проверяет наличие оговорки для операций с флагом ⚠️:
• Если оговорка отсутствует → блокировка экспорта + подсказка «Добавьте оговорку для операций с планируемым нормативом»
3. Прогресс-бар обновляется:
• ☑ Формирование итоговой сметы ✅
• ☑ Этап Б1 завершён ✅</t>
  </si>
  <si>
    <t>Справочники:
• Справочник операций — источник данных о флаге «Планируемый норматив» ⚠️
• Справочник рыночных цен — данные из КД после этапа анализа/скоринга (поле «Рыночная цена»)
• Справочник коэффициентов — все коэффициенты из Шагов 1–5 (фиксированы после подтверждения)
Системные данные:
• Поле «Рыночная_цена_за_ед» — из КД после скоринга
• Поле «Согласованная_цена_за_ед» — из сметы заказчика (КП)
• Флаг «Оговорка_планируемый_норматив» — обязательное условие для экспорта при наличии операций ⚠️
• Флаг «Этап_Б1_завершён»</t>
  </si>
  <si>
    <t>Алгоритм сравнения с рыночной ценой:
Отклонение_процент = (Согласованная_цена − Рыночная_цена) / Рыночная_цена × 100%
ЕСЛИ Отклонение_процент &gt; 0 И Маржа_оптимальная ≥ Целевая_наценка
ТО Решение = "Принять к исполнению"
ИНАЧЕ Решение = "Требуется пересмотр условий"
Алгоритм проверки оговорки:
ЕСЛИ Существуют_операции_с_флагом_планируемый = да И Оговорка_проставлена = нет
ТО Блокировать_экспорт = да
ИНАЧЕ Блокировать_экспорт = нет
Алгоритм формирования итоговой сметы:
Итоговая_смета = Таблица_видов_работ[Наименование, Ед.изм., Кол-во, Согласованная_цена, Сумма, Этап_ГПР]
Сохранить_во_внутреннем_приложении(Сценарий_Специалисты, Сценарий_Оптимальный_состав, Рыночная_цена)</t>
  </si>
  <si>
    <t>• Сценарий «Оптимальный состав» — реальный расчёт для внутреннего планирования 
  и оплаты исполнителей. Использует каскадное наставничество для снижения 
  себестоимости.
• Ключевой экономический принцип Орбиты: стажёры со ставкой ниже рыночной 
  (600 ₽/час против 1 500 ₽/час) снижают реальную себестоимость относительно 
  фиксированного бюджета ФОТ. Разница превращается в дополнительную маржу + 
  развивается кадровый пул.
• Буфер обучения 1,3 — 30% дополнительного времени для обучения стажёра. 
  После прохождения полного цикла операций стажёр становится специалистом 
  по операции и может обучать других стажёров без роста общей численности бригады.
• Премиальный фонд 30% распределяется 70/30:
  — 70% наставнику — немедленная премия за обучение
  — 30% стажёру — накопление до перехода в статус специалиста (мотивация 
    завершить обучение)
• Все коэффициенты (1,3 буфер, 30% премиальный фонд, 70/30 распределение, 
  20% надбавка наставнику) вынесены в справочники и отображаются в уведомлении 
  при подтверждении расчёта.
• Разница между сценариями:
  — ФОТ «Специалисты» = 2 527 500 ₽
  — ФОТ «Оптимальный состав» = 1 940 250 ₽
  — Экономия = 587 250 ₽ → дополнительная маржа проекта
• Коэффициент 1,8 (КЭ.Э6):
  — Применяется ТОЛЬКО к ключевым операциям (флаг ⚠️ в Справочнике операций)
  — НЕ применяется в сценарии «Специалисты» (Шаг 4)
  — Фиксируется до первого проекта направления
  — Изменение требует допсоглашения со всеми проектами направления
• Источник маржи — экономия на ФОТ (не снижение оплаты исполнителям):
  — КЭ фиксирует ставки (510 ₽/час стажёр) — прозрачность экономики, 
    защита доходов исполнителей
  — Маржа формируется за счёт оптимизации численности (смешанная команда), 
    а не снижения ставок исполнителей
• Архитектурные принципы Орбиты 
  — Принцип 1 (Алгоритм = координатор): Расчёт выполняется алгоритмом КД 
    на основе данных КП + КЭ. Ручное вмешательство в расчёт запрещено.
  — Принцип 3 (Бенефициар норматива): Улучшение норматива ≥7% фиксируется 
    в Справочнике → исполнитель получает ПД 2% от стоимости операции во всех 
    будущих проектах.</t>
  </si>
  <si>
    <t>Приложение №1 Смета
Прогресс-бар:
☑ Исходные данные ✅
☑ Декомпиляция ✅
☑ Формирование ФОТ ✅
☑ Расчёт «Специалисты» ✅
☑ Расчёт «Опт. состав» ✅
☐ Формирование итоговой сметы ⏳</t>
  </si>
  <si>
    <t>Форма «Сравнение сценариев и рыночная цена»
Блок 1: Сравнение сценариев (ДВА КОНТУРА)
[Колонка: Сценарий 1-КОНТКР1]
• Сценарий «Специалисты» (гипотетический):
— Коэффициент = 1,0 (без обучения)
— Себестоимость = 2 784 233 ₽
— Маржа = +108,7% 🟢
— Назначение: Аргументация цены заказчику (Приложение №1)
[Колонка: Сценарий 2 - КОНТУР 2]
• Сценарий «Оптимальный состав» (реальный):
— Коэффициент = 1,15/1,3 (с обучением)
— Себестоимость = 3 938 144 ₽
— Маржа = +47,5% 🟢🟢
— Назначение: Внутреннее планирование и оплата (СП)
⚠️ Важно:
• Контур 1 фиксируется кнопкой «Формирование этапов ГПР»
• Контур 2 активируется кнопкой «Запуск проекта» в СП
[Колонка: Фиксация]
• Экономия на ФОТ = 520 750 ₽ (разница базовых ФОТ)
• Оба сценария фиксируются во внутреннем приложении к договору и НЕ изменяются в ходе проекта (даже при переходе стажёра в статус специалиста или улучшении норматива)
• Изменение возможно ТОЛЬКО через допсоглашение при наличии оговорки в договоре
Блок 2: Сравнение с рыночной ценой
• Поле «Рыночная цена» (из КД после этапа анализа/скоринга):
— Монтаж каркасов: 2 800 ₽/м²
— Монтаж заполнений: 1 950 ₽/м²
— Обдирание пленки: 180 ₽/м²
• Согласованная цена заказчика:
— Монтаж каркасов: 3 700 ₽/м² (+32,1% выше рыночной) 🟢
— Монтаж заполнений: 2 460 ₽/м² (+26,2% выше рыночной) 🟢
— Обдирание пленки: 200 ₽/м² (+11,1% выше рыночной) 🟢
Блок 3: Проверка оговорок
• Операции с флагом «Планируемый норматив» ⚠️:
— Сборка каркасов (1.1)
— Разноска по проёмам (1.2)
— Укрытие плёнкой (1.5)
• Статус оговорки: ☑ «Цена подлежит уточнению после установления фактического норматива»</t>
  </si>
  <si>
    <t>Итоговая таблица сметы для экспорта:
№ | Наименование | Ед.изм. | Кол-во | Цена | Сумма | Рыночная | Отклонение |
1 | Монтаж каркасов... | м² | 901,19 | 3 700 | 3 334 403 | 2 800 | +32,1% 🟢 |
2 | Монтаж заполнений... | м² | 901,19 | 2 460 | 2 216 927 | 1 950 | +26,2% 🟢 |
3 | Обдирание пленки... | м² | 901,19 | 200 | 180 238 | 180 | +11,1% 🟢 |
4 | Доводчики | шт | 42 | 1 250 | 52 500 | 1 100 | +13,6% 🟢 |
5 | Координаторы... | шт | 20 | 1 250 | 25 000 | 1 000 | +25,0% 🟢 |
Итого | | | 2 766,76 | — | 5 809 068 | — | +25,8% 🟢 |
Уведомление системы (жёлтая полоса):
«✅ Проект принят к исполнению: маржа +47,5% &gt; целевой 18%; цена выше рыночной на 25,8%»</t>
  </si>
  <si>
    <t>1. Просмотреть сравнение сценариев и рыночных цен
2. Убедиться, что оговорка о планируемых нормативах проставлена (галочка ☑)
3. Нажать кнопку [Сформировать итоговую смету]</t>
  </si>
  <si>
    <t>1. Система формирует итоговую смету для экспорта в Приложение №1:
• Экспортируются ТОЛЬКО столбцы: Наименование, Ед.изм., Кол-во, Цена, Сумма, Этап ГПР
• Столбцы себестоимости, маржи, рыночной цены — НЕ экспортируются (внутреннее использование)
2. Система проверяет наличие оговорки для операций с флагом ⚠️:
• Если оговорка отсутствует → блокировка экспорта + подсказка «Добавьте оговорку для операций с планируемым нормативом»
3. Прогресс-бар обновляется:
• ☑ Формирование итоговой сметы ✅
• ☑ Этап Б1 завершён ✅</t>
  </si>
  <si>
    <t>Справочники:
• Справочник операций — источник данных:
  — Флаг «Планируемый норматив» ⚠️
  — Физ. ограничения (Вес &gt;40кг, Площадь &gt;2,5м², Высота &gt;2м)
  — Колонка «Инструкция (ссылка)» (для буфера 1,3/1,15)
• КП передаёт маркеры в КД:
  — Видеоинструкция: Пустая ссылка → 1,3 / Есть ссылка → 1,15
  — Физ. ограничения: Вес &gt;40кг / Площадь &gt;2,5м² / Высота &gt;2м → расчёт численности с коэффициентом
• Справочник рыночных цен — данные из КД после этапа анализа/скоринга (поле «Рыночная цена»)
• Справочник коэффициентов — все коэффициенты из Шагов 1–5 (фиксированы после подтверждения)
• [Колонка: Новый параметр] Лимит Наставник:Стажёр = 1:3 (архитектурная константа, КЭ.Э2)
Системные данные:
• Поле «Рыночная_цена_за_ед» — из КД после скоринга
• Поле «Согласованная_цена_за_ед» — из сметы заказчика (КП)
• Флаг «Оговорка_планируемый_норматив» — обязательное условие для экспорта при наличии операций ⚠️
• Флаг «Этап_Б1_завершён»</t>
  </si>
  <si>
    <t>Алгоритм сравнения с рыночной ценой:
Отклонение_процент = (Согласованная_цена − Рыночная_цена) / Рыночная_цена × 100%
ЕСЛИ Отклонение_процент &gt; 0 И Маржа_оптимальная ≥ Целевая_наценка
ТО Решение = "Принять к исполнению"
ИНАЧЕ Решение = "Требуется пересмотр условий"
Алгоритм проверки оговорки:
ЕСЛИ Существуют_операции_с_флагом_планируемый = да И Оговорка_проставлена = нет
ТО Блокировать_экспорт = да
ИНАЧЕ Блокировать_экспорт = нет
Алгоритм формирования итоговой сметы:
Итоговая_смета = Таблица_видов_работ[Наименование, Ед.изм., Кол-во, Согласованная_цена, Сумма, Этап_ГПР]
Сохранить_во_внутреннем_приложении(Сценарий_Специалисты, Сценарий_Оптимальный_состав, Рыночная_цена)</t>
  </si>
  <si>
    <t>• Критически важно: в финальную смету для заказчика экспортируется ТОЛЬКО 
  согласованная цена (столбец «Цена за ед.»), а не себестоимость или маржа. 
  Столбцы себестоимости и маржи — внутренние, не отображаются в договоре.
• Принцип оплаты: Система платит КАЖДОМУ исполнителю ВЫШЕ рынка:
  — Стажёр: 510 ₽/час против 340 ₽/час у конкурентов (+50%)
  — Специалист: ≥1 500 ₽/час против 1 000 ₽/час у конкурентов (+50%)
• Источник маржи: Экономия на ФОТ за счёт смешанной команды 
  (специалист + стажёры) + каскадное наставничество + буфер 1,3. 
  Реальная себестоимость проекта НИЖЕ рыночной на 38–42% → разница = маржа системы.
• Поле «Рыночная цена» используется ТОЛЬКО на этапе скоринга (после анализа 
  и до подписания договора) для принятия решения «брать/не брать» проект. 
  После экспорта сметы это поле фиксируется во внутреннем приложении 
  и не изменяется.
• Оговорка о планируемых нормативах — обязательное условие для экспорта 
  при наличии операций с флагом ⚠️. Без оговорки система блокирует 
  экспорт с предупреждением.
• Оба сценария («Специалисты» и «Оптимальный состав») фиксируются во 
  внутреннем приложении к договору и не изменяются в ходе проекта — даже 
  при переходе стажёра в статус специалиста или улучшении норматива.
• Экономия на ФОТ = 520 750 ₽ — разница между базовыми ФОТ сценариев. 
  Эта экономия превращается в дополнительную маржу проекта при использовании 
  каскадного наставничества.
• Коэффициент 1,8 (КЭ.Э6) — внутренний мотивационный механизм Орбиты, 
  а не рыночный параметр:
  — Применяется ТОЛЬКО к ключевым операциям (флаг ⚠️ в Справочнике операций)
  — НЕ применяется в сценарии «Специалисты» (Шаг 4)
  — Фиксируется до первого проекта направления
  — Изменение требует допсоглашения со всеми проектами направления
  — Повышает среднюю оплату труда специалистов внутри системы выше, чем у 
    специалистов вне системы — это ключевой принцип архитектуры Орбиты для 
    удержания кадров
• Эффекты Правил 1–4 (КЭ.Э9, Э10.2):
  — Правило 1: +5% (коррекция ставки при отклонении ≥10%)
  — Правило 2: +8% (приоритетное обучение: цель + ошибка ≤3%)
  — Правило 3: +12% (доступ к ключевым + кросс-направление)
  — Правило 4: +10% (приоритет СВР на Фазах 1–2)
  — Итоговая маржа с Правилами 1–4: +47,5% (16,4% базовая + 35% эффекты + 4,2% ПД)
  — Важно: Эффекты отслеживаются в СП (М2) и КЭ (Э9, Э10.2) для аналитики 
    после 4 проектов. В операционных расчётах (КД, СП) применяется сценарий 
    С ПРАВИЛАМИ 1–4 всегда.
• Архитектурные принципы Орбиты (Корректировка №15):
  — Принцип 1 (Алгоритм = координатор): Расчёт сметы выполняется алгоритмом 
    КД на основе данных КП + КЭ. Ручное вмешательство в расчёт запрещено.
  — Принцип 2 (Цифровые двойники): Описание и критерии качества операций 
    берутся из Справочника операций (структурированные данные) — это основа 
    для цифровых двойников.
  — Принцип 3 (Бенефициар норматива): Улучшение норматива ≥7% фиксируется в 
    Справочнике → исполнитель получает ПД 2% от стоимости операции во всех 
    будущих проектах.
• После завершения Шага 6 система автоматически:
  — Привязывает сумму сметы (5 809 068 ₽) к п. 1.2 договора
  — Заполняет п. 2.1 «Общая стоимость договора» = 5 809 068 ₽
  — Разблокирует переход к следующим расчётным пунктам (п. 2, п. 3, п. 4, п. 5)</t>
  </si>
  <si>
    <t>Приложение №1 Смета
Прогресс-бар:
☑ Исходные данные ✅
☑ Декомпиляция ✅
☑ Формирование ФОТ ✅
☑ Расчёт «Специалисты» ✅
☑ Расчёт «Опт. состав» ✅
☑ Формирование итоговой сметы ✅
Статус этапа:
✅ Этап Б1 завершён</t>
  </si>
  <si>
    <t>Кнопки экспорта:
• [Экспортировать смету в договор]
• [Скачать смету в Excel]
• [Просмотреть внутреннее приложение]</t>
  </si>
  <si>
    <t>Предпросмотр экспортированной сметы в договоре:
Приложение №1 к Договору № ___
СМЕТА
№ | Наименование работ | Ед. изм. | Кол-во | Цена за ед., ₽ | Сумма, ₽ | Этап ГПР |
1 | Монтаж каркасов... | м² | 901,19 | 3 700 | 3 334 403 | Этап 1 |
2 | Монтаж заполнений... | м² | 901,19 | 2 460 | 2 216 927 | Этап 1 |
3 | Обдирание пленки... | м² | 901,19 | 200 | 180 238 | Этап 2 |
4 | Доводчики | шт | 42 | 1 250 | 52 500 | Этап 2 |
5 | Координаторы... | шт | 20 | 1 250 | 25 000 | Этап 2 |
Итого | | | 2 766,76 | — | 5 809 068 | — |
Примечание к смете:
«Цена подлежит уточнению после установления фактического норматива для операций: сборка каркасов, разноска по проёмам, укрытие плёнкой»</t>
  </si>
  <si>
    <t>1. Нажать кнопку [Экспортировать смету в договор]
2. Система выполняет экспорт и обновляет текст договора</t>
  </si>
  <si>
    <t>1. Система экспортирует смету в Приложение №1 договора:
• Форматирование по шаблону (заголовок, таблица, итоговая сумма прописью)
• Автоматическое добавление примечания с оговоркой для операций ⚠️
2. Система обновляет основной текст договора:
• п. 1.2: «...Сметой, являющейся неотъемлемой частью настоящего договора (Приложение №1) на сумму 5 809 068 (пять миллионов восемьсот девять тысяч шестьдесят восемь) рублей 00 копеек»
• п. 2.1: «Общая стоимость Договора составляет 5 809 068 (пять миллионов восемьсот девять тысяч шестьдесят восемь) рублей 00 копеек, в том числе НДС 20% — 968 178 ₽» (с учётом СНО Подрядчика)
3. Система сохраняет внутреннее приложение к договору с полными расчётами:
• Оба сценария («Специалисты», «Оптимальный состав»)
• Все коэффициенты и исходные данные
• Сравнение с рыночной ценой
4. Этап Б1 завершён — разблокирован переход к Этапу Б2 (п. 2 — Цена и порядок расчётов)</t>
  </si>
  <si>
    <t>Справочники:
• Шаблон оформления сметы — форматирование таблицы, пропись суммы, заголовок Приложения №1
• Справочник СНО — для расчёта НДС в п. 2.1 (ОСНО → выделение НДС 20%, УСН/ЕНВД → «без НДС»)
Системные данные:
• Поле «Сумма_сметы_цифрой» = 5 809 068 ₽
• Поле «Сумма_сметы_прописью» = «пять миллионов восемьсот девять тысяч шестьдесят восемь рублей 00 копеек»
• Флаг «Смета_экспортирована» = да
• Флаг «Этап_Б1_завершён» = да</t>
  </si>
  <si>
    <t>Алгоритм экспорта сметы:
ЕСЛИ Смета_валидна = да И Оговорка_проставлена = да
ТО Экспортировать_в_Приложение_№1(Итоговая_смета)
Обновить_п1.2(Сумма_сметы_цифрой, Сумма_сметы_прописью)
Обновить_п2.1(Сумма_сметы_цифрой, С_НДС/Без_НДС)
Сохранить_внутреннее_приложение(Все_расчёты_Б1)
Флаг_Этап_Б1_завершён = да
ИНАЧЕ Отобразить_ошибку("Экспорт невозможен: проверьте оговорки и валидацию")
Алгоритм расчёта НДС:
ЕСЛИ СНО_Подрядчика = "ОСНО" И Применяет_НДС = да
ТО НДС = Сумма_сметы × 0,20
Текст_п2.1 = "в том числе НДС 20% — " + НДС
ИНАЧЕ Текст_п2.1 = "без НДС"</t>
  </si>
  <si>
    <t>• Экспорт сметы — точка невозврата: после экспорта все расчёты фиксируются во внутреннем приложении и не изменяются в ходе проекта (даже при улучшении норматива или переходе стажёра в статус специалиста).
• Оговорка о планируемых нормативах автоматически добавляется в примечание к смете при наличии операций с флагом ⚠️ — это юридическая защита от претензий при уточнении цены после установления фактического норматива.
• НДС рассчитывается автоматически на основе СНО Подрядчика из преамбулы (Этап А2):
— ОСНО + применяет НДС → выделение 20%
— УСН/ЕНВД/самозанятый → «без НДС»
• Внутреннее приложение сохраняется в системе с привязкой к договору и доступно для Руководителя проекта и Руководителя направления — но не отображается в тексте договора для заказчика.
• После завершения Этапа Б1 система разблокирует переход к следующим расчётным пунктам:
— Этап Б2: п. 2 — Цена и порядок расчётов (аванс, этапность оплаты)
— Этап Б3: п. 3 — Обязанности сторон
— Этап Б4: п. 4 — Организация выполнения и приёмки
— Этап Б5: п. 5 — Сроки выполнения работ
— Этап Б6: Приложения №2–№4</t>
  </si>
  <si>
    <t>п. 12 Приложения к настоящему Договору
Прогресс-бар:
☐ Формирование перечня приложений ⏳</t>
  </si>
  <si>
    <t>Форма «12. Приложения к настоящему Договору»
Автоматически сформированный перечень:
• Приложение №1 — Смета на выполнение работ
• Приложение №2 — Техническое задание
• Приложение №3 — График производства работ (ГПР)
• Приложение №4 — Акт приёмки-передачи зоны производства работ («захватки»)
Содержание и источник каждого приложения:
• Приложение №1 — таблица из КД (Смета), сформированная в Этапе Б1
• Приложение №2 — таблица из КП, содержащая:
— Виды работ (из Сметы)
— Операции этапов 10–50 (из Справочника операций)
— Краткое описание операций (из Справочника операций)
— Допуски и отклонения по качеству (из Справочника операций)
• Приложение №3 — ГПР из КД, сформированный в Этапе Б2
• Приложение №4 — стандартная форма акта из КП, сформированная в Этапе Б4
Возможность редактирования:
• Редактирование запрещено — перечень фиксирован
• Добавление/удаление приложений невозможно — только через изменение структуры договора</t>
  </si>
  <si>
    <t>Предпросмотр п. 12 в договоре:
«12. Приложения к настоящему Договору
К настоящему Договору прилагаются следующие документы, которые являются его неотъемлемой частью:
1. Приложение №1 — Смета на выполнение работ;
2. Приложение №2 — Техническое задание;
3. Приложение №3 — График производства работ (ГПР);
4. Приложение №4 — Акт приёмки-передачи зоны производства работ («захватки»).»</t>
  </si>
  <si>
    <t>1. Проверить корректность автоматически сформированного перечня
2. Убедиться, что все приложения имеют статус «Согласовано» и привязаны к соответствующим этапам
3. Нажать кнопку [Подтвердить перечень приложений]</t>
  </si>
  <si>
    <t>1. Система фиксирует перечень приложений во внутреннем приложении
2. Прогресс-бар обновляется:
• ☑ Формирование перечня приложений ✅
• ☑ Этап Б12 завершён ✅
• ☑ Весь договор согласован ✅
3. Система проверяет наличие всех приложений:
• Если какое-либо приложение отсутствует → блокировка экспорта
• Если все приложения присутствуют → разблокировка финального экспорта</t>
  </si>
  <si>
    <t>Справочники:
• Справочник стандартных приложений договора подряда
• Справочник операций (для формирования Приложения №2)
Системные данные:
• Поле «Статус_Приложения_№1» = Согласовано (Этап Б1)
• Поле «Статус_Приложения_№2» = Согласовано (Этап А2)
• Поле «Статус_Приложения_№3» = Согласовано (Этап Б2)
• Поле «Статус_Приложения_№4» = Согласовано (Этап Б4)
• Флаг «Все_приложения_готовы» = да/нет</t>
  </si>
  <si>
    <t>Алгоритм формирования п. 12:
Перечень_приложений = {
"Приложение №1 — Смета на выполнение работ",
"Приложение №2 — Техническое задание",
"Приложение №3 — График производства работ (ГПР)",
"Приложение №4 — Акт приёмки-передачи зоны производства работ («захватки»)"
}
ЕСЛИ Все_приложения_готовы = да:
Статус_валидации = "Валидно"
ИНАЧЕ:
Статус_валидации = "Ошибка", Блокировать_экспорт = да</t>
  </si>
  <si>
    <t>Фиксация модели (4 проекта ИЛИ 90 дней)
• Справочник операций блокируется на обновление на 4 проекта ИЛИ 90 дней (КЭ.Э12)
• КП использует Справочник операций (зафиксированный КЭ) для операций и нормативов
• Изменение Справочника операций до завершения 4 проектов/90 дней требует допсогашения со всеми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
• П. 12 — фиксированный справочный раздел, не требующий ручного заполнения
• Все приложения уже созданы и согласованы на предыдущих этапах:
— Приложение №1 — в Этапе Б1
— Приложение №2 — в Этапе А2 (Техническое задание)
— Приложение №3 — в Этапе Б2
— Приложение №4 — в Этапе Б4 (Акт передачи захватки)
• Приложение №2 — это редактируемая (до согласования) таблица операций с жёстко привязанными описаниями и критериями качества из Справочника операций
• Этот этап автоматически завершает процесс заполнения КД
• После подтверждения разблокируется финальный экспорт договора в формате .docx</t>
  </si>
  <si>
    <t>1.1</t>
  </si>
  <si>
    <t>Приложение №3 ГПР
Прогресс-бар:
☑ Выбор режима и видов работ ✅
☐ Формирование этапов ГПР ⏳
☐ Согласование этапов
☐ Экспорт ГПР</t>
  </si>
  <si>
    <t>Фриз с кнопками режимов:
• ☑ [Декомпозиция]
• ☐ [Поставка материалов]
• ☐ [Выполнение]
• ☐ [Авансы]
• ☐ [Оплата выполнения]
Список видов работ (уже выбран):
• ☑ 1. Монтаж каркасов... (901,19 м²)
• ☑ 2. Монтаж заполнений... (901,19 м²)
• ☑ 3. Обдирание пленки... (901,19 м²)
• ☑ 4. Доводчики (42 шт)
• ☑ 5. Координаторы... (20 шт)</t>
  </si>
  <si>
    <t xml:space="preserve">Таблица ГПР (режим «Декомпозиция»):
№ | Наименование работ | Ед.изм. | Кол-во | Цена | Сумма | Кол-во время |Буфер(%)| Дни (1–11) | ТБ
1 | Монтаж каркасов... | м² | 901,19 | 3 700 | 3 334 403 | 275,8 ч | [4][ ][ ][4][ ] | [6] ← курсор наведён на строку 1
</t>
  </si>
  <si>
    <t>1. Навести курсор на строку «Монтаж каркасов...» (№1) в нижней панели
2.Пользователь может изменить процент буфера индивидуально для каждой строки «Вид работ» в пределах диапазона, заданного в КЭ.Э1. Выбранное значение сохраняется в БД проекта.</t>
  </si>
  <si>
    <t>1. Система раскрывает декомпозицию операций под строкой 1:
├─ 1.1 | Сборка каркасов | м² | 901,19 | 700 | 630 833 | 13,5 ч | [4][ ][ ][ ][ ] | [ ]
├─ 1.2 | Разноска по проёмам | м² | 901,19 | 300 | 270 357 | 9,0 ч | [ ][ ][ ][4][ ] | [ ]
├─ 1.3 | Установка в проектное положение | м² | 901,19 | 1 500 | 1 351 785 | 90,1 ч | [ ][ ][ ][4][4] | [ ]
├─ 1.4 | Установка примыканий | п.м. | 1 500 | 650 | 975 000 | 75,0 ч | [ ][ ][ ][4][4] | [ ]
└─ 1.5 | Укрытие плёнкой | м² | 300 | 354,76 | 106 428 | 10,0 ч | [ ][ ][ ][ ][4] | [ ]
2. В колонке «Кол-во время» отображается время выполнения операции в часах
3. В колонках «Дни» отображается цветовая индикация выполнения операций (без чисел)
4. Прогресс-бар обновляется:
• ☑ Формирование этапов ГПР ✅
• ☐ Согласование этапов ⏳</t>
  </si>
  <si>
    <t>Источники данных:
Поток данных между модулями:
• КЭ.Э12.Фиксация_модели (4 проекта ИЛИ 90 дней) — Справочник операций 
  блокируется на обновление на период фиксации
• КЭ.Э1.Буфер_времени (диапазон 0–100%, фиксируется в Конструкторе 
  Экономики ДО запуска первого проекта направления)
• Справочник операций — нормативы времени, этапы (10–50), флаги 
  (ключевые, планируемые)
• Конструктор проектов (КП) — захватки, последовательность операций, 
  привязка к конструкциям/изделиям
• КП → КД: Маркеры физ. ограничений (Вес &gt;40кг, Площадь &gt;2,5м², 
  Высота &gt;2м)
• КП → КД: Маркер видеоинструкции (Пустая ссылка → 1,3 / Есть 
  ссылка → 1,15)
• Планировщик — расчёт сроков, распределение по дням, количество 
  работников
Системные данные:
• Поле «Флаг_модели_зафиксирована» = да (после финализации Э12)
• Поле «Проектов_завершено_в_модели» = 0 (счётчик до 4)
• Поле «Дней_до_разблокировки» = 90 (счётчик дней)
• Поле «Буфер_времени_направление» = значение из КЭ.Э1 (0–100%)
• Поле «Буфер_времени_этап_ГПР» = значение в пределах диапазона 
  направления
• Флаг «Буфер_зафиксирован» = да/нет
• Поле «Время_операции» (часы)
• Поле «Количество_работников_на_день»
• Флаг «Операция_ключевая»
• Флаг «Планируемый_норматив» ⚠️
Справочники коэффициентов (настройки системы):
• Справочник «Коэффициенты_базовой_ставки» (значение по умолчанию = 1,5)
• Справочник «Коэффициенты_ключевых_операций» (значение по 
  умолчанию = 1,8)
• Справочник «Физ. ограничения» (из КП: Вес &gt;40кг, Площадь &gt;2,5м², 
  Высота &gt;2м)
• Справочник «Буферы_обучения» (значение по умолчанию = 1,3/1,15)
Справочники рыночных данных:
• Справочник рыночных ставок по видам работ и регионам РФ
• Справочник регионов с базовыми ставками разнорабочего 
  (Нижегородская область = 400 ₽/час)
• Справочник видов работ из КП (объёмы, единицы измерения)
Примечание:
• Значение буфера по умолчанию = максимум из диапазона КЭ.Э1
• Пользователь может изменить процент буфера индивидуально для каждой 
  строки «Вид работ» в пределах диапазона КЭ.Э1
• Выбранное значение сохраняется в БД проекта
• Изменение буфера после запуска проекта требует допсоглашения 
  (см. КЭ Э1)
• Справочник операций блокируется на 4 проекта ИЛИ 90 дней 
• КП НЕ получает данные из КЭ — два параллельных, независимых 
  источника данных. КД объединяет данные на этапе сметы и ГПР</t>
  </si>
  <si>
    <t>═══════════════════════════════════════════════════════════════════════════
АЛГОРИТМ ДЕКОМПОЗИЦИИ (КОНТУР 1: КД — ГПР ДЛЯ ЗАКАЗЧИКА)
═══════════════════════════════════════════════════════════════════════════
Для_каждого_вида_работ:
    Операции = Справочник_операций.Получить_операции(Вид_работ)
    Для_каждой_операции:
        ═══════════════════════════════════════════════════════════════
        ШАГ 1: Расчёт длительности для ГПР (сроки для Заказчика)
        ═══════════════════════════════════════════════════════════════
        Время_ГПР = (Объём_работ × Норматив_времени) × (1 + КЭ.Э1.Буфер_времени / 100) × 1,0
        ⚠️ Коэффициент обучения = 1,0 (не отображается Заказчику)
        ═══════════════════════════════════════════════════════════════
        ШАГ 2: Валидация буфера
        ═══════════════════════════════════════════════════════════════
        ЕСЛИ (Буфер_вида_работ &gt; Буфер_направления_КЭ.Э1):
            ТО Блокировать_сохранение = да
               Подсказка("Буфер этапа не может превышать буфер направления из КЭ.Э1")
        ИНАЧЕ Блокировать_сохранение = нет
        ═══════════════════════════════════════════════════════════════
        ШАГ 3: Расчёт численности с учётом физ. ограничений 
        ═══════════════════════════════════════════════════════════════
        ЕСЛИ (КП.Вес &gt; 40кг) ИЛИ (КП.Площадь &gt; 2,5м²) ИЛИ (КП.Высота &gt; 2м):
            ТО Коэф_численности = Округлить_вверх(Фактическое_значение / Лимит)
            ИНАЧЕ Коэф_численности = 1
        ═══════════════════════════════════════════════════════════════
        ШАГ 4: Фиксация ограничения назначения операций 
        ═══════════════════════════════════════════════════════════════
        КД фиксирует ограничение: назначение операций происходит за 60 минут до старта
        КП передаёт последовательность → КД фиксирует ограничение в ГПР → СП назначает за 60 минут до старта
        Запрещено назначение «сразу по готовности» — только по триггеру времени (T_старт − 60 минут)
        ✅ Результат Контура 1: ГПР с реалистичными сроками, численностью и дисциплиной назначения
═══════════════════════════════════════════════════════════════════════════
АЛГОРИТМ ВНУТРЕННЕГО ПЛАНИРОВАНИЯ (КОНТУР 2: СП — ВНУТРЕННИЙ ПЛАН)
═══════════════════════════════════════════════════════════════════════════
Шаг 1 (Наследует из Контура 1):
    ═══════════════════════════════════════════════════════════════
    Время_СП = Время_ГПР
    Коэф_численности = Коэф_численности_из_КД (физ. ограничения)
    Ограничение_назначения = 60 минут до старта (из КД)
    ═══════════════════════════════════════════════════════════════
Шаг 2 (Добавляет коэффициент компетенции ):
    ═══════════════════════════════════════════════════════════════
    Время_СП_с_обучением = Время_СП × Коэф_компетенции
    где Коэф_компетенции = 1,0 / 1,15 / 1,3
    — 1,15 — если есть видеоинструкция в Справочнике операций
    — 1,3 — если нет видеоинструкции в Справочнике операций
    ═══════════════════════════════════════════════════════════════
Шаг 3 (Применяет ограничение назначения):
    ═══════════════════════════════════════════════════════════════
    ЕСЛИ (Текущее_время &lt; T_старт − 60 минут):
        ТО Статус_операции = "Заблокировано (слишком рано)"
    ИНАЧЕ ЕСЛИ (Текущее_время ≥ T_старт − 60 минут):
        ТО Статус_операции = "Готово к назначению"
    ═══════════════════════════════════════════════════════════════
Шаг 4 (Примечания ):
    ═══════════════════════════════════════════════════════════════
    • Буфер времени 0–100% фиксируется в КЭ.Э1 ДО запуска первого проекта
    • Буфер направления (КЭ.Э1) применяется в ГПР (Контур 1) → сроки для Заказчика в договоре
    • Буфер обучения (1,15/1,3) применяется в СП (Контур 2) → внутренний расчёт ФОТ и численности
    • Буфер времени НЕ отображается Заказчику в детализации ГПР — только итоговая длительность проекта
    • Изменение буфера после запуска проекта требует допсоглашения (см. КЭ Э1)
    • Справочник операций блокируется на 4 проекта ИЛИ 90 дней (Корр. №16)
    ═══════════════════════════════════════════════════════════════
    ✅ Результат Контура 2: Внутренний план с физ. ограничениями + обучение + дисциплина назначения</t>
  </si>
  <si>
    <t xml:space="preserve">════════════════════════════════════════════════
ПРИМЕЧАНИЯ К РЕЖИМУ «ДЕКОМПОЗИЦИЯ» (ГПР Ш1, Шаг 1.1)
════════════════════════════════════════════════
📌 БЛОК 1: ФИКСАЦИЯ СПРАВОЧНИКА ОПЕРАЦИЙ (Корректировка №16)
──────────────────────────────────────────────────────────────────────
• Справочник операций блокируется на обновление на 4 проекта ИЛИ 90 дней 
  (КЭ.Э12)
• КП использует Справочник операций (зафиксированный КЭ) для операций и 
  нормативов
• Изменение Справочника операций до завершения 4 проектов/90 дней требует 
  допсоглашения со всеми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
📌 БЛОК 2: ИНТЕРФЕЙС И ОТОБРАЖЕНИЕ (Корректировка №11)
─────────────────────────────────────────────────────────────────
• Режим «Декомпозиция» показывает полную иерархию операций для выбранного 
  вида работ
• Критически важно: Заказчик видит итоговую длительность проекта с учётом 
  буфера, но НЕ видит распределение буфера по этапам — это внутренний 
  инструмент управления для РН/РП
• Кнопка «Сформировать ГПР» используется дважды:
  1. После первоначального формирования ГПР для отправки на согласование
  2. После внесения изменений в ГПР после первоначального согласования
• После фиксации ГПР кнопка «Сформировать ГПР» блокируется до внесения 
  изменений
• В колонке «Кол-во время» отображается время выполнения каждой операции 
  в часах (можно переключить на дни/минуты)
• В колонках «Дни» отображается цветовая индикация выполнения операций 
  (без чисел)
• Строка вида работ отображает общее время выполнения и количество 
  работников на день
• Все данные берутся из Справочника операций и рассчитываются 
  Планировщиком на основе захваток из КП
📌 БЛОК 3: БУФЕР ВРЕМЕНИ (Корректировка №11)
───────────────────────────────────────────────────────────────
• В режиме декомпозиции добавляется колонка «Буфер (%)» для каждого вида 
  работ
• Значение по умолчанию = максимум из диапазона КЭ.Э1
• Пользователь может изменить процент буфера индивидуально для каждой 
  строки «Вид работ» в пределах диапазона, заданного в КЭ.Э1
• Выбранное значение сохраняется в БД проекта
• Буфер времени 0–100% фиксируется в КЭ.Э1 ДО запуска первого проекта 
  направления
• Буфер направления (КЭ.Э1) применяется в ГПР (Контур 1) → сроки для 
  Заказчика в договоре
• Буфер обучения (1,15/1,3) применяется в СП (Контур 2) → внутренний 
  расчёт ФОТ и численности
• Буфер времени НЕ отображается Заказчику в детализации ГПР — только 
  итоговая длительность проекта с учётом буфера
• Изменение буфера после запуска проекта требует допсоглашения 
  (см. КЭ Э1)
📌 БЛОК 4: АРХИТЕКТУРНЫЕ ПРИНЦИПЫ (Корректировка №15)
─────────────────────────────────────────────────────────────
• Принцип 1 (Алгоритм = координатор): ГПР формируется алгоритмом КД на 
  основе данных КП (захватки, последовательность) + КЭ (буфер 0–100%). 
  Ручное вмешательство в расчёт сроков запрещено.
• Принцип 2 (Цифровые двойники): Все данные операций (нормативы, время, 
  качество, физ. ограничения) сохраняются в структурированном формате для 
  последующего построения цифровых двойников процессов.
• Принцип 3 (Бенефициар норматива): ТЗ содержит ссылки на видеоинструкции. 
  Исполнитель, улучшивший норматив ≥7%, становится бенефициаром всех 
  будущих проектов с этой операцией (ПД 2%).
</t>
  </si>
  <si>
    <t>1.2</t>
  </si>
  <si>
    <t>Приложение №3 ГПР
Прогресс-бар:
☑ Выбор режима и видов работ ✅
☑ Формирование этапов ГПР ✅
☐ Согласование этапов ⏳
☐ Экспорт ГПР</t>
  </si>
  <si>
    <t>Фриз с кнопками режимов:
• ☐ [Декомпозиция]
• ☑ [Поставка материалов]
• ☐ [Выполнение]
• ☐ [Авансы]
• ☐ [Оплата выполнения]</t>
  </si>
  <si>
    <t>Таблица ГПР (режим «Поставка материалов»):
№ | Наименование работ | Ед.изм. | Кол-во | Цена | Сумма | Кол-во время | Дни (1–11) | ТБ
1 | Монтаж каркасов... | м² | 901,19 | 3 700 | 3 334 403 | 275,8 ч | [4][ ][ ][4][ ] | [6]
↑ Поставка материалов | | | | | | | [Захватка №=1,2] | ← отдельная строка НАД операциями 1.1–1.5</t>
  </si>
  <si>
    <t>1. Нажать кнопку [Поставка материалов] в фризе
2. Навести курсор на ячейку «[Захватка №=1,2]»</t>
  </si>
  <si>
    <t>1. Система отображает отдельную строку «Поставка материалов» НАД операциями 1.1–1.5
2. При наведении курсора на ячейку «[Захватка №=1,2]» отображается всплывающая подсказка:
• Обозначение конструкций: К-1, К-2
• Единица измерения: м²
• Количество одной единицы: 901,19 м²
• Количество штук в захватке: 2
• Общий объём по конструкции: 1 802,38 м²
• ИТОГО по захватке: 1 802,38 м²
3. Система автоматически рассчитала день поставки на основе:
• Срока поставки из договора (п. 3.1.4)
• Последовательности выполнения операций по захваткам из КП</t>
  </si>
  <si>
    <t>Источники данных:
• Конструктор материальных ресурсов (КМР) — потребность в материалах, график поставок
• Конструктор проектов (КП) — захватки, привязка изделий к конструкциям
• Договор — сроки поставки материалов (п. 3.1.4)
Системные данные:
• Поле «Дата_поставки»
• Поле «Объём_поставки»
• Поле «Номера_захваток»</t>
  </si>
  <si>
    <t>Алгоритм расчёта поставки:
Дата_поставки = MAX(Дата_начала_операции − Срок_поставки_из_договора, Дата_подписания_договора + 3)
Объём_поставки = Σ(Объём_изделий_в_захватке)
Номера_захваток = КП.Получить_захватки(Вид_работ)
Алгоритм отображения:
ЕСЛИ Режим = "Поставка материалов"
ТО Отобразить_строку_поставки(Над_операциями_этапа_40)</t>
  </si>
  <si>
    <t>• Операция «Поставка материалов» отображается НАД операциями этапа 40, но под строкой вида работ
• В ячейке отображается только «Захватка №=1,2» — подробности в всплывающей подсказке
• Система автоматически рассчитывает день поставки на основе условий договора и структуры проекта из КП
• При изменении графика поставок в КМР данные в ГПР обновляются автоматически</t>
  </si>
  <si>
    <t>1.3</t>
  </si>
  <si>
    <t>Фриз с кнопками режимов:
• ☐ [Декомпозиция]
• ☐ [Поставка материалов]
• ☑ [Выполнение]
• ☐ [Авансы]
• ☐ [Оплата выполнения]
Переключатель режимов отображения:
• ☑ Рубли
• ☐ Ед.изм.
• ☐ %</t>
  </si>
  <si>
    <t>Таблица ГПР (режим «Выполнение» → «Рубли»):
№ | Наименование работ | Ед.изм. | Кол-во | Цена | Сумма | Кол-во время | Дни (1–11) | ТБ
1 | Монтаж каркасов... | м² | 901,19 | 3 700 | 3 334 403 | 275,8 ч | [4][ ][ ][4][ ] | [6]
↓ Выполнение | | | | | | | [777 000][ ][ ][777 000][ ] | ← отдельная строка под видом работ</t>
  </si>
  <si>
    <t>1. Нажать кнопку [Выполнение] в фризе
2. Убедиться, что выбран режим «Рубли»
3. Проверить значения в строке «Выполнение»</t>
  </si>
  <si>
    <t>1. Система отображает отдельную строку «Выполнение» под видом работ
2. В колонках дней отображается сумма выплат за день в рублях:
• День 1: 777 000 ₽
• День 4: 777 000 ₽
3. Сумма рассчитана как:
• Объём выполненных работ за день × Цена за ед. × (1 − Аванс_%)
• Пример: 300 м² × 3 700 ₽ × (1 − 0,30) = 777 000 ₽</t>
  </si>
  <si>
    <t>Источники данных:
• Приложение №1 (Смета) — цена за единицу, объёмы
• Пункт 2.2 договора — размер аванса (30%)
• Планировщик — распределение объёмов по дням
Системные данные:
• Поле «Аванс_процент» = 30%
• Поле «Объём_за_день»
• Поле «Сумма_выплат_за_день»</t>
  </si>
  <si>
    <t>Алгоритм расчёта выплат:
Сумма_выплат_за_день = Объём_за_день × Цена_за_ед × (1 − Аванс_процент / 100)
Алгоритм отображения:
ЕСЛИ Режим = "Выполнение" И Подрежим = "Рубли"
ТО Отобразить_строку_выполнения(Под_видом_работ, Сумма_выплат_за_день)</t>
  </si>
  <si>
    <t>• Строка «Выполнение» отображается под строкой вида работ
• Значения отображаются только в строке «Выполнение», а не в строке вида работ
• Расчёт учитывает размер аванса — оплачивается только остаток (70% при авансе 30%)
• При переключении режимов (Рубли → Ед.изм. → %) значения в строке «Выполнение» обновляются автоматически</t>
  </si>
  <si>
    <t>1.4</t>
  </si>
  <si>
    <t>Фриз с кнопками режимов:
• ☐ [Декомпозиция]
• ☐ [Поставка материалов]
• ☐ [Выполнение]
• ☑ [Авансы]
• ☐ [Оплата выполнения]
Переключатель режимов отображения:
• ☑ Рубли
• ☐ %</t>
  </si>
  <si>
    <t>Таблица ГПР (режим «Авансы» → «Рубли»):
№ | Наименование работ | Ед.изм. | Кол-во | Цена | Сумма | Кол-во время | Дни (1–11) | ТБ
1 | Монтаж каркасов... | м² | 901,19 | 3 700 | 3 334 403 | 275,8 ч | [4][ ][ ][4][ ] | [6]
↓ Аванс | | | | | | | [1 742 720][ ][ ][ ][ ] | ← отдельная строка под видом работ</t>
  </si>
  <si>
    <t>1. Нажать кнопку [Авансы] в фризе
2. Убедиться, что выбран режим «Рубли»
3. Проверить значение в строке «Аванс»</t>
  </si>
  <si>
    <t>1. Система отображает отдельную строку «Аванс» под видом работ
2. В колонке дня подписания договора отображается сумма авансового платежа:
• День 1: 1 742 720 ₽ (30% от общей стоимости договора)
3. Если выбран двухразовый аванс, отображаются две строки:
• Аванс (1 часть): 871 360 ₽
• Аванс (2 часть): 871 360 ₽ (в день приёмки первого этапа)</t>
  </si>
  <si>
    <t>Алгоритм декомпозиции (Контур 1: ГПР):
Для_каждого_вида_работ:
Операции = Справочник_операций.Получить_операции(Вид_работ)
Для_каждой_операции:
Шаг 1 (Расчёт длительности для ГПР):
Время_ГПР = (Объём_работ × Норматив_времени) × (1 + КЭ.Э1.Буфер_времени / 100) × 1,0
⚠️ Коэффициент обучения = 1,0 (не отображается Заказчику)
Контур 2 (СП — Внутреннее планирование):
Шаг 2 (Расчёт для СП, внутренний):
Время_СП = (Объём_работ × Норматив_времени) × Коэф_компетенции
где Коэф_компетенции = 1,0 / 1,15 / 1,3
— 1,15 — если есть видеоинструкция в Справочнике операций
— 1,3 — если нет видеоинструкции в Справочнике операций
Распределение_по_дням = Планировщик.Распределить(Операция, Время_ГПР, Захватки)
Количество_работников = Планировщик.Рассчитать_численность(Операция, Контур = "ГПР")
Примечание:
• Время_ГПР отображается в графике для Заказчика (с учётом буфера направления КЭ.Э1)
• Время_СП используется для внутреннего расчёта ФОТ (с учётом буфера обучения 1,15/1,3)
• Кнопка «Формирование этапов ГПР» фиксирует Контур 1 для договора
• Кнопка «Запуск проекта» активирует Контур 2 для внутреннего планирования
• КП маркирует физ. ограничения (Вес &gt;40кг, Площадь &gt;2,5м², Высота &gt;2м) → КД рассчитывает численность с коэффициентом
• КП проверяет наличие видеоинструкции в Справочнике операций → КД передаёт маркер в СП (для буфера 1,15/1,3)
Алгоритмы валидации:
ЕСЛИ Σ(Время_операций_1.1_1.5) ≠ Время_вида_работ_1
ТО Отобразить_предупреждение("Расхождение времён: операции ≠ вид работ")
ЕСЛИ (Буфер_вида_работ &gt; Буфер_направления_КЭ.Э1) 
ТО Блокировать_сохранение
Дополнение:
В режиме декомпозиции добавляется колонка «Буфер (%)» для каждого вида работ. 
Значение по умолчанию = максимум из диапазона КЭ.Э1. 
Пользователь может изменить процент буфера индивидуально для каждой строки «Вид работ» 
в пределах диапазона, заданного в КЭ.Э1. Выбранное значение сохраняется в БД проекта.</t>
  </si>
  <si>
    <t>Алгоритм расчёта аванса:
ЕСЛИ Тип_аванса = "одноразовый"
ТО Сумма_аванса = Общая_стоимость × Аванс_процент / 100
ИНАЧЕ
Сумма_аванса_1 = Общая_стоимость × Аванс_процент / 200
Сумма_аванса_2 = Общая_стоимость × Аванс_процент / 200
Алгоритм отображения:
ЕСЛИ Режим = "Авансы" И Подрежим = "Рубли"
ТО Отобразить_строку_аванса(Под_видом_работ, Сумма_аванса)</t>
  </si>
  <si>
    <t>• Строка «Аванс» отображается под строкой вида работ
• Значения отображаются только в строке «Аванс», а не в строке вида работ
• Система автоматически определяет тип аванса на основе условий договора (п. 2.2)
• При двухразовом авансе вторая часть отображается в день приёмки первого этапа работ</t>
  </si>
  <si>
    <t>1.5</t>
  </si>
  <si>
    <t>Приложение №3 ГПР
Прогресс-bar:
☑ Выбор режима и видов работ ✅
☑ Формирование этапов ГПР (Контур 1, Коэф. 1,0) ✅
☐ Согласование этапов ⏳
☐ Экспорт ГПР
⚠️ Примечание:
• Контур 1 (КД): ГПР для договора, Коэф. 1,0, Буфер направления 0–100%
• Контур 2 (СП): Внутреннее планирование, Коэф. 1,15/1,3, активируется кнопкой «Запуск проекта»</t>
  </si>
  <si>
    <t>Фриз с кнопками режимов:
• ☐ [Декомпозиция]
• ☐ [Поставка материалов]
• ☐ [Выполнение]
• ☐ [Авансы]
• ☑ [Оплата выполнения]
• ☑ [Сформировать ГПР]
Переключатель режимов отображения:
• ☑ Рубли
• ☐ %</t>
  </si>
  <si>
    <t>Таблица ГПР (режим «Оплата выполнения» → «Рубли»):
№ | Наименование работ | Ед.изм. | Кол-во | Цена | Сумма | Кол-во время | Дни (1–11) | ТБ
1 | Монтаж каркасов... | м² | 901,19 | 3 700 | 3 334 403 | 275,8 ч | [4][ ][ ][4][ ] | [6]
↓ Оплата работ | | | | | | | [777 000][ ][ ][777 000][ ] | ← отдельная строка под видом работ</t>
  </si>
  <si>
    <t>1. Нажать кнопку [Оплата выполнения] в фризе
2. Убедиться, что выбран режим «Рубли»
3. Проверить значения в строке «Оплата работ»
4. Нажать кнопку на фризе «Сформировать ГПР» для фиксации расчётов и перехода к этапу согласования</t>
  </si>
  <si>
    <t>1. Система отображает отдельную строку «Оплата работ» под видом работ
2. В колонках дней отображается сумма оплаты за выполнение работ по захватке:
   • День 1: 777 000 ₽
   • День 4: 777 000 ₽
3. При двухразовом авансе расчёт начинается только после второго аванса
4. Сумма рассчитана как:
   • Объём выполненных работ за день × Цена за ед. × (1 − Аванс_%)
5. ГПР зафиксирован и готов к согласованию с Заказчиком</t>
  </si>
  <si>
    <t>Источники данных:
• Приложение №1 (Смета) — цена за единицу, объёмы
• Пункт 2.2 договора — условия аванса
• ГПР — этапы сдачи работ по захваткам
Системные данные:
• Поле «Тип_аванса»
• Поле «Дата_второго_аванса» (для двухразового)
• Поле «Сумма_оплаты_за_день»
• Справочник операций (нормативы времени, этапы 10-50)
• Данные из КП (конструкции, изделия, график поставок)
• «КЭ.Э1.Буфер_времени (диапазон 0–100%)» в перечень используемых справочников.</t>
  </si>
  <si>
    <t>Алгоритм расчёта оплаты:
ЕСЛИ Тип_аванса = "одноразовый"
ТО Сумма_оплаты_за_день = Объём_за_день × Цена_за_ед × (1 − Аванс_процент / 100)
ИНАЧЕ
ЕСЛИ Дата_текущая ≥ Дата_второго_аванса
ТО Сумма_оплаты_за_день = Объём_за_день × Цена_за_ед × (1 − Аванс_процент / 100)
ИНАЧЕ Сумма_оплаты_за_день = 0
Алгоритм отображения:
ЕСЛИ Режим = "Оплата выполнения" И Подрежим = "Рубли"
ТО Отобразить_строку_оплаты(Под_видом_работ, Сумма_оплаты_за_день)
Алгоритм фиксации ГПР:
1. При нажатии кнопки «Сформировать ГПР» система:
   • Фиксирует текущие расчёты ГПР
   • Проверяет целостность данных
   • Подготавливает ГПР к этапу согласования
2. После фиксации ГПР становится доступной кнопка [Согласовать этапы]</t>
  </si>
  <si>
    <t>• Режим «Оплата выполнения» показывает сумму оплаты за выполнение работ по захватке
• Строка «Оплата работ» отображается под строкой вида работ
• Значения отображаются только в строке «Оплата работ», а не в строке вида работ
• При двухразовом авансе расчёт начинается только после второго аванса
• Расчёт учитывает размер аванса — оплачивается только остаток (70% при авансе 30%)
• Кнопка «Сформировать ГПР» используется дважды:
  1. После окончательного формирования ГПР для отправки на согласование
  2. После внесения изменений в ГПР после первоначального согласования
• При необходимости внесения изменений после согласования с Заказчиком, 
  пользователь нажимает кнопку «Сформировать ГПР» для фиксации изменений 
  и повторного отправления на согласование
• После фиксации ГПР кнопка «Сформировать ГПР» блокируется до внесения изменений
• Буфер времени 0–100% фиксируется в КЭ.Э1 ДО запуска первого проекта направления
• Буфер направления (КЭ.Э1) применяется в ГПР (Контур 1) — сроки для Заказчика в договоре
• Буфер обучения (1,15/1,3) применяется в СП (Контур 2) — внутренний расчёт ФОТ и численности
• Буфер времени НЕ отображается Заказчику в детализации ГПР — только итоговая длительность проекта с учётом буфера
• В режиме декомпозиции добавляется колонка «Буфер (%)» для каждого вида работ
• Значение по умолчанию = максимум из диапазона КЭ.Э1
• Пользователь может изменить процент буфера индивидуально для каждой строки «Вид работ» 
  в пределах диапазона, заданного в КЭ.Э1
• Выбранное значение сохраняется в БД проекта
• Изменение буфера после запуска проекта требует допсоглашения (см. КЭ Э1)
• Архитектурные принципы Орбиты (Корректировка №15):
  — Принцип 1 (Алгоритм = координатор): ГПР формируется алгоритмом КД на основе данных 
    КП (захватки, последовательность) + КЭ (буфер 0–100%). Ручное вмешательство в расчёт 
    сроков запрещено.</t>
  </si>
  <si>
    <t>2.1</t>
  </si>
  <si>
    <t>Фриз с кнопками режимов:
• ☑ [Декомпозиция]
• ☐ [Поставка материалов]
• ☐ [Выполнение]
• ☐ [Авансы]
• ☐ [Оплата выполнения]
Список видов работ:
• ☑ 1. Монтаж каркасов...
• ☑ 2. Монтаж заполнений...
• ☑ 3. Обдирание пленки...
• ☑ 4. Доводчики
• ☑ 5. Координаторы...
Кнопки согласования:
• [Отправить на согласование]
• [Согласовать все этапы]</t>
  </si>
  <si>
    <t>Таблица ГПР с индикаторами статуса:
№ | Наименование работ | Ед.изм. | Кол-во | Цена | Сумма | Кол-во время | Дни (1–11) | ТБ | Статус
1 | Монтаж каркасов... | м² | 901,19 | 3 700 | 3 334 403 | 275,8 ч | [4][ ][ ][4][ ] | [6] | 🟡 На согласовании
├─ 1.1 | Сборка каркасов | м² | 901,19 | 700 | 630 833 | 13,5 ч | [4][ ][ ][ ][ ] | [ ] | 🟡 На согласовании
├─ 1.2 | Разноска по проёмам | м² | 901,19 | 300 | 270 357 | 9,0 ч | [ ][ ][ ][4][ ] | [ ] | 🟡 На согласовании
├─ 1.3 | Установка в проектное положение | м² | 901,19 | 1 500 | 1 351 785 | 90,1 ч | [ ][ ][ ][4][4] | [ ] | 🟡 На согласовании
├─ 1.4 | Установка примыканий | п.м. | 1 500 | 650 | 975 000 | 75,0 ч | [ ][ ][ ][4][4] | [ ] | 🟡 На согласовании
└─ 1.5 | Укрытие плёнкой | м² | 300 | 354,76 | 106 428 | 10,0 ч | [ ][ ][ ][ ][4] | [ ] | 🟡 На согласовании
2 | Монтаж заполнений... | м² | 901,19 | 2 460 | 2 216 927 | ... | ... | ... | 🟡 На согласовании</t>
  </si>
  <si>
    <t>1. Нажать кнопку [Отправить на согласование]
2. Система отправляет уведомление Заказчику
3. Дождаться ответа Заказчика</t>
  </si>
  <si>
    <t>1. Статус всех этапов меняется на «🟡 На согласовании»
2. Система фиксирует дату отправки на согласование
3. Включается таймер ожидания ответа (по умолчанию 3 рабочих дня)
4. Прогресс-бар обновляется:
• ☑ Согласование этапов ✅
• ☐ Экспорт ГПР ⏳</t>
  </si>
  <si>
    <t>Источники данных:
• Договор — сроки рассмотрения (п. 4.7: 3 раб. дня для актов, п. 4.8: 5 раб. дней для замечаний)
• Справочник этапов ГПР — статусы согласования
Системные данные:
• Поле «Статус_этапа» = {Согласован, На согласовании, Отклонён}
• Поле «Дата_отправки_на_согласование»
• Поле «Таймер_ожидания»</t>
  </si>
  <si>
    <t>Алгоритм отправки на согласование:
ЕСЛИ Кнопка_отправки_нажата = да
ТО Для_всех_этапов:
Статус_этапа = "На согласовании"
Дата_отправки = Текущая_дата
Таймер_ожидания = 3 рабочих дня
Отправить_уведомление_Заказчику(ГПР, Срок_ответа = 3 дня)</t>
  </si>
  <si>
    <t>• Отправка на согласование возможна только после полного формирования этапов ГПР
• Статус «🟡 На согласовании» блокирует экспорт ГПР до получения ответа от Заказчика
• Таймер ожидания основан на сроках из договора (п. 4.7/4.8)
• Заказчик может согласовать все этапы или отклонить отдельные этапы с комментарием</t>
  </si>
  <si>
    <t>2.2</t>
  </si>
  <si>
    <t>Приложение №3 ГПР
Прогресс-бар:
☑ Выбор режима и видов работ ✅
☑ Формирование этапов ГПР ✅
☑ Согласование этапов ✅
☐ Экспорт ГПР</t>
  </si>
  <si>
    <t>Фриз с кнопками режимов:
• ☑ [Декомпозиция]
• ☐ [Поставка материалов]
• ☐ [Выполнение]
• ☐ [Авансы]
• ☐ [Оплата выполнения]
Список видов работ:
• ☑ 1. Монтаж каркасов...
• ☑ 2. Монтаж заполнений...
• ☑ 3. Обдирание пленки...
• ☑ 4. Доводчики
• ☑ 5. Координаторы...
Кнопки согласования:
• [Согласовать все этапы]
• [Отклонить этапы с комментарием]</t>
  </si>
  <si>
    <t>Таблица ГПР с индикаторами статуса:
№ | Наименование работ | ... | Статус
1 | Монтаж каркасов... | ... | 🟢 Согласован
├─ 1.1 | Сборка каркасов | ... | 🟢 Согласован
├─ 1.2 | Разноска по проёмам | ... | 🟢 Согласован
├─ 1.3 | Установка в проектное положение | ... | 🟢 Согласован
├─ 1.4 | Установка примыканий | ... | 🟢 Согласован
└─ 1.5 | Укрытие плёнкой | ... | 🟢 Согласован
2 | Монтаж заполнений... | ... | 🟢 Согласован
...</t>
  </si>
  <si>
    <t>1. Заказчик нажимает [Согласовать все этапы] в своём интерфейсе
2. Система получает подтверждение</t>
  </si>
  <si>
    <t>1. Статус всех этапов меняется на «🟢 Согласован»
2. Система фиксирует дату согласования
3. Активируется кнопка [Экспортировать ГПР]
4. Прогресс-бар обновляется:
• ☑ Согласование этапов ✅
• ☐ Экспорт ГПР ⏳</t>
  </si>
  <si>
    <t>Источники данных:
• Договор — обязательства по согласованию графиков
• Справочник этапов ГПР — статусы согласования
Системные данные:
• Поле «Статус_этапа» = "Согласован"
• Поле «Дата_согласования»
• Флаг «ГПР_согласован» = да</t>
  </si>
  <si>
    <t>Алгоритм согласования:
ЕСЛИ Заказчик.Согласовать_все = да
ТО Для_всех_этапов:
Статус_этапа = "Согласован"
Дата_согласования = Текущая_дата
Флаг_ГПР_согласован = да
Разблокировать_экспорт = да</t>
  </si>
  <si>
    <t>• Согласование всех этапов разблокирует экспорт ГПР как Приложение №3 к договору
• Если Заказчик отклоняет отдельные этапы, система позволяет внести корректировки и повторно отправить на согласование
• После согласования все даты этапов фиксируются и становятся основой для расчёта сроков в п. 5 договора</t>
  </si>
  <si>
    <t>2.3</t>
  </si>
  <si>
    <t>Фриз с кнопками режимов:
• ☑ [Декомпозиция]
• ☐ [Поставка материалов]
• ☐ [Выполнение]
• ☐ [Авансы]
• ☐ [Оплата выполнения]
Список видов работ:
• ☑ 1. Монтаж каркасов...
• ☑ 2. Монтаж заполнений...
• ☑ 3. Обдирание пленки...
• ☑ 4. Доводчики
• ☑ 5. Координаторы...
Кнопки согласования:
• [Экспортировать ГПР]
• [Скачать ГПР в Excel]</t>
  </si>
  <si>
    <t>Предпросмотр экспортированного ГПР:
Приложение №3 к Договору № ___
ГРАФИК ПРОИЗВОДСТВА РАБОТ
№ | Наименование работ | Ед.изм. | Кол-во | Цена | Сумма | Дата начала | Дата окончания | Этап ГПР
1 | Монтаж каркасов... | м² | 901,19 | 3 700 | 3 334 403 | 01.03.2026 | 15.03.2026 | Этап 1
2 | Монтаж заполнений... | м² | 901,19 | 2 460 | 2 216 927 | 16.03.2026 | 30.03.2026 | Этап 1
3 | Обдирание пленки... | м² | 901,19 | 200 | 180 238 | 01.04.2026 | 05.04.2026 | Этап 2
4 | Доводчики | шт | 42 | 1 250 | 52 500 | 06.04.2026 | 10.04.2026 | Этап 2
5 | Координаторы... | шт | 20 | 1 250 | 25 000 | 06.04.2026 | 10.04.2026 | Этап 2</t>
  </si>
  <si>
    <t>1. Нажать кнопку [Экспортировать ГПР]
2. Система генерирует Приложение №3 в формате PDF</t>
  </si>
  <si>
    <t>1. Система экспортирует ГПР как Приложение №3 к договору:
• Форматирование по шаблону (заголовок, таблица, итоговая сумма)
• Автоматическая нумерация страниц
• Колонтитул: «Приложение №3 к Договору № ___ от ___»
2. Система обновляет основной текст договора:
• п. 5.1: «Срок выполнения Работ составляет 40 (сорок) календарных дней с даты подписания настоящего Договора»
• п. 2.2: привязка этапов оплаты к датам ГПР
3. Этап Б6.3 завершён — разблокирован переход к Этапу Б2 (п. 2 — Цена и порядок расчётов)</t>
  </si>
  <si>
    <t>Источники данных:
• Согласованный ГПР — даты начала/окончания этапов
• Договор — шаблон оформления приложений
Системные данные:
• Поле «Общий_срок_выполнения» = 40 дней
• Флаг «ГПР_экспортирован» = да
• Флаг «Этап_Б6.3_завершён» = да</t>
  </si>
  <si>
    <t>Алгоритм экспорта ГПР:
ЕСЛИ ГПР_согласован = да И Кнопка_экспорта_нажата = да
ТО Сгенерировать_Приложение_№3(ГПР_в_формате_PDF)
Обновить_п5.1(Общий_срок_выполнения)
Обновить_п2.2(Этапы_оплаты_из_ГПР)
Флаг_Этап_Б6.3_завершён = да
ИНАЧЕ Отобразить_ошибку("ГПР не согласован")</t>
  </si>
  <si>
    <t>• Экспорт ГПР — точка фиксации сроков и этапов. После экспорта даты не могут быть изменены без дополнительного соглашения.
• Общий срок выполнения рассчитывается как разница между датой подписания договора и последней датой этапа ГПР.
• Этапы оплаты в п. 2.2 автоматически привязываются к датам сдачи работ из ГПР.
• После завершения Этапа Б6.3 система разблокирует переход к расчётным пунктам договора:
— Этап Б2: п. 2 — Цена и порядок расчётов
— Этап Б5: п. 5 — Сроки выполнения работ</t>
  </si>
  <si>
    <t>3</t>
  </si>
  <si>
    <t>Приложение №3 ГПР
Прогресс-бар:
☑ Выбор режима и видов работ ✅
☑ Формирование этапов ГПР ✅
☑ Согласование этапов ✅
☐ Экспорт ГПР ⏳</t>
  </si>
  <si>
    <t>Фриз с кнопками режимов:
• ☑ [Декомпозиция]
• ☐ [Поставка материалов]
• ☐ [Выполнение]
• ☐ [Авансы]
• ☐ [Оплата выполнения]
Список видов работ:
• ☑ 1. Монтаж каркасов...
• ☑ 2. Монтаж заполнений...
• ☑ 3. Обдирание пленки...
• ☑ 4. Доводчики
• ☑ 5. Координаторы...
Кнопки экспорта:
• [Экспортировать ГПР в договор]
• [Скачать ГПР в Excel]
• [Просмотреть внутреннее приложение]</t>
  </si>
  <si>
    <t>Предпросмотр экспортированного ГПР в договоре:
Приложение №3 к Договору № ___
ГРАФИК ПРОИЗВОДСТВА РАБОТ
№ | Наименование работ | Ед. изм. | Кол-во | Цена за ед., ₽ | Сумма, ₽ | Дата начала | Дата окончания | Этап ГПР
1 | Монтаж каркасов... | м² | 901,19 | 3 700 | 3 334 403 | 01.03.2026 | 15.03.2026 | Этап 1
2 | Монтаж заполнений... | м² | 901,19 | 2 460 | 2 216 927 | 16.03.2026 | 30.03.2026 | Этап 1
3 | Обдирание пленки... | м² | 901,19 | 200 | 180 238 | 01.04.2026 | 05.04.2026 | Этап 2
4 | Доводчики | шт | 42 | 1 250 | 52 500 | 06.04.2026 | 10.04.2026 | Этап 2
5 | Координаторы... | шт | 20 | 1 250 | 25 000 | 06.04.2026 | 10.04.2026 | Этап 2
Итого по ГПР:
• Общая стоимость: 5 809 068 ₽
• Общий срок: 40 календарных дней</t>
  </si>
  <si>
    <t>1. Нажать кнопку [Экспортировать ГПР в договор]
2. Система генерирует Приложение №3 в формате PDF</t>
  </si>
  <si>
    <t>Источники данных:
• Согласованный ГПР — даты начала/окончания этапов
• Договор — шаблон оформления приложений
• Смета (Приложение №1) — общая стоимость
Системные данные:
• Поле «Общий_срок_выполнения» = 40 дней
• Флаг «ГПР_экспортирован» = да
• Флаг «Этап_Б6.3_завершён» = да</t>
  </si>
  <si>
    <t>• Экспорт ГПР — точка фиксации сроков и этапов. После экспорта даты не могут быть изменены без дополнительного соглашения.
• В финальную смету для заказчика экспортируется ТОЛЬКО согласованная цена (столбец «Цена за ед.»), а не себестоимость или маржа.
• Общий срок выполнения рассчитывается как разница между датой подписания договора и последней датой этапа ГПР.
• Этапы оплаты в п. 2.2 автоматически привязываются к датам сдачи работ из ГПР.
• После завершения Этапа Б6.3 система разблокирует переход к расчётным пунктам договора:
— Этап Б2: п. 2 — Цена и порядок расчётов
— Этап Б5: п. 5 — Сроки выполнения работ</t>
  </si>
  <si>
    <t>Нижняя панель КД</t>
  </si>
  <si>
    <t>Не сворачиваемая панель с кнопками  Нижней панели КД</t>
  </si>
  <si>
    <t>Кнопки</t>
  </si>
  <si>
    <t>Декомпозиция</t>
  </si>
  <si>
    <t>Поставка материалов</t>
  </si>
  <si>
    <t>Выполнение</t>
  </si>
  <si>
    <t>Аванс</t>
  </si>
  <si>
    <t>При нажатии показываются только эти операции</t>
  </si>
  <si>
    <t>Раскрывает выбранные в правой панели виды работ по операциям</t>
  </si>
  <si>
    <t>При наведении курсора показывает день поставки материалов по операциям и типам консрукций. Все операции в КП привязаны к изделиям по конструкциям.</t>
  </si>
  <si>
    <t>Дни когда по договору планируется сдача выолнения по Захваткам по которым поставлен материал.</t>
  </si>
  <si>
    <t>Дни поступления аванса 1-го и 2-го при необходимости</t>
  </si>
  <si>
    <t>Дни</t>
  </si>
  <si>
    <t>№</t>
  </si>
  <si>
    <t>Наименование работ</t>
  </si>
  <si>
    <t>Ед. изм.</t>
  </si>
  <si>
    <t>Кол-во</t>
  </si>
  <si>
    <t>Цена за ед.,
в рублях,
 в т.ч. НДС 20%</t>
  </si>
  <si>
    <t>Сумма,
в рублях, в т.ч. НДС 20%</t>
  </si>
  <si>
    <t>Количество минут</t>
  </si>
  <si>
    <t>ТБ
6</t>
  </si>
  <si>
    <t>Монтаж каркасов
Монтаж Примыканий.
Укрытие защитной пленкой</t>
  </si>
  <si>
    <t>м2</t>
  </si>
  <si>
    <t xml:space="preserve">Аванс </t>
  </si>
  <si>
    <t>Захватка1,2</t>
  </si>
  <si>
    <t>Захватка 3</t>
  </si>
  <si>
    <t xml:space="preserve">            Сборка каркасов</t>
  </si>
  <si>
    <t>.</t>
  </si>
  <si>
    <t xml:space="preserve">            Разноска каркасов по проемам</t>
  </si>
  <si>
    <t xml:space="preserve">           Установка каркасов в проектное положение</t>
  </si>
  <si>
    <t xml:space="preserve">           Установка примыканий (устройство монтажного шва)</t>
  </si>
  <si>
    <t>п.м.</t>
  </si>
  <si>
    <t xml:space="preserve">            Укрытие защитной пленкой</t>
  </si>
  <si>
    <t>Сдача работ</t>
  </si>
  <si>
    <t>из договора</t>
  </si>
  <si>
    <t>Оплата выполнения</t>
  </si>
  <si>
    <t>Монтаж заполнений (стеклопакеты, двери) прижимных и декоративных планок</t>
  </si>
  <si>
    <t>Захватка 1,2</t>
  </si>
  <si>
    <t>Обдирание пленки со стеклопакетов</t>
  </si>
  <si>
    <t>Доводчики</t>
  </si>
  <si>
    <t>шт</t>
  </si>
  <si>
    <t>Координаторы открывания</t>
  </si>
  <si>
    <t>Итого с НДС-20%:</t>
  </si>
  <si>
    <t>Количество исполнителей по видам работ по дням</t>
  </si>
  <si>
    <t>НДС-20%:</t>
  </si>
  <si>
    <t>Сумма выплат на день</t>
  </si>
  <si>
    <t>п. 2 Цена и порядок расчётов
Прогресс-бар:
☐ 2.1 Общая стоимость договора ⏳
☐ 2.2 Порядок и сроки оплаты
☐ 2.3 Состав цены
☐ 2.4 Условия изменения цены
☐ 2.5–2.9 Прочие условия</t>
  </si>
  <si>
    <t>Форма «2.1 Общая стоимость договора»
Исходные данные (автоподстановка):
• Сумма из Приложения №1 (Смета): 5 809 068 ₽
• СНО Подрядчика: ОСНО (из преамбулы)
• Применяет НДС: Да
Поля для подтверждения:
• Общая стоимость договора = 5 809 068 (пять миллионов восемьсот девять тысяч шестьдесят восемь) рублей 00 копеек
• В том числе НДС 20% = 968 178 ₽
Доступные действия:
• Просмотр автоподставленных значений
• Кнопка [Подтвердить сумму]</t>
  </si>
  <si>
    <t>Предпросмотр п. 2.1 в договоре:
«2.1. Цена настоящего Договора составляет 5 809 068 (пять миллионов восемьсот девять тысяч шестьдесят восемь) рублей 00 копеек и является твёрдой на дату подписания, если иное не предусмотрено настоящим разделом.
В том числе НДС 20% — 968 178 (девятьсот шестьдесят восемь тысяч сто семьдесят восемь) рублей 00 копеек.»</t>
  </si>
  <si>
    <t>1. Проверить корректность суммы из Сметы (5 809 068 ₽)
2. Проверить расчёт НДС (20% от 5 809 068 ₽ = 968 178 ₽)
3. Нажать кнопку [Подтвердить сумму]</t>
  </si>
  <si>
    <t>1. Система фиксирует сумму договора и НДС во внутреннем приложении
2. Прогресс-бар обновляется:
• ☑ 2.1 Общая стоимость договора ✅
• ☐ 2.2 Порядок и сроки оплаты ⏳
3. Система проверяет соответствие суммы Смете:
• Если расхождение → блокировка + подсказка «Сумма не совпадает со Сметой»</t>
  </si>
  <si>
    <t>Справочники:
• Справочник СНО — для расчёта НДС
• Справочник форматов прописи чисел — для генерации текста «пять миллионов...»
Системные данные:
• Поле «Сумма_сметы» = 5 809 068 ₽ (из Этапа Б1)
• Поле «СНО_Подрядчика» = ОСНО (из Этапа А2)
• Флаг «Применяет_НДС» = да/нет (из настроек Подрядчика)
• Поле «Сумма_прописью» — генерируется автоматически</t>
  </si>
  <si>
    <t>Алгоритм расчёта НДС:
ЕСЛИ СНО = "ОСНО" И Применяет_НДС = да
ТО НДС = Сумма_сметы × 0,20
ИНАЧЕ НДС = 0, Текст_НДС = "без НДС"
Алгоритм генерации прописи:
Сумма_прописью = Число_в_русской_прописи(Сумма_сметы)
Алгоритм валидации:
ЕСЛИ Сумма_договора ≠ Сумма_сметы
ТО Блокировать_подтверждение = да
ИНАЧЕ Блокировать_подтверждение = нет</t>
  </si>
  <si>
    <t>• Сумма договора строго берётся из Сметы (Приложение №1) — ручное редактирование запрещено
• НДС рассчитывается автоматически на основе СНО Подрядчика из преамбулы:
— ОСНО + применяет НДС → выделение 20%
— УСН/ЕНВД → «без НДС»
• Пропись суммы генерируется по ГОСТ Р 7.0.97-2016 (оформление деловых документов)
• После подтверждения сумма фиксируется и не изменяется в ходе проекта (кроме случаев п. 2.4)</t>
  </si>
  <si>
    <t>п. 2 Цена и порядок расчётов
Прогресс-бар:
☑ 2.1 Общая стоимость договора ✅
☐ 2.2 Порядок и сроки оплаты ⏳
☐ 2.3 Состав цены
☐ 2.4 Условия изменения цены
☐ 2.5–2.9 Прочие условия</t>
  </si>
  <si>
    <t>Форма «2.2 Порядок и сроки оплаты»
Выбор формулировки аванса:
• ☑ Одноразовый аванс
— «— [___]% аванса — [в течение 3 (трёх)] рабочих дней с даты подписания настоящего Договора;»
Поля для ввода (одноразовый аванс):
• Размер аванса: [30] % ← выпадающий список (15 / 20 / 30 / 40 / 50)
• Срок оплаты аванса: [3] рабочих дня ← выпадающий список (1 / 2 / 3 / 5)
• Срок оплаты этапов: [3] рабочих дня ← выпадающий список (1 / 2 / 3 / 5)
Валидация аванса (Двухуровневая):
• Уровень 1 (Норматив КЭ): ТБ = 28% = 1 626 539 ₽ (из КЭ.Э1).
• Уровень 2 (Проектная ТБ): [Расчёт через СП Контур 1] (валидация кассового потока по ГПР).
• Норма аванса: 15–30%
 Порог отклонения:
— Аванс &lt;15% → 🔴 Блокировка запуска
— 15% ≤ Аванс &lt;28% → 🟡 Риск убытка (требуется обоснование)
— Аванс ≥ 28% И Аванс ≥ Проектная ТБ → 🟢 Go
• Кассовый буфер: ≥ ФОТ × 3 дня = 187 500 ₽
Уведомление системы:
• 🟢 «Уровень 1 (28%) и Уровень 2 (Проектная ТБ) пройдены. Аванс покрывает все затраты до первого этапа оплаты.»
• 🟡 «Уровень 1 (28%) не пройден. Риск убытка до первого этапа оплаты. Требуется обоснование РН.»
• 🔴 «Уровень 2 (Проектная ТБ) не пройден. Аванс не покрывает затраты до первого этапа оплаты. Запуск заблокирован.»</t>
  </si>
  <si>
    <t>Предпросмотр п. 2.2 в договоре (одноразовый аванс):
«2.2. Оплата по настоящему договору производится в следующем порядке:
— 30% аванса — в течение 3 (трёх) рабочих дней с даты подписания настоящего Договора;
— 70% — поэтапно, пропорционально фактически выполненному и принятому Заказчиком объёму Работ на основании подписанных Сторонами Актов о приёмке выполненных работ (форма КС-2), согласно Графику производства работ (Приложение №3), на основании Справки о стоимости выполненных работ и затрат (форма КС-3) — не позднее 3 (трёх) рабочих дней с момента подписания Акта КС-2 по соответствующему этапу сдачи.»</t>
  </si>
  <si>
    <t>1. Выбрать формулировку «Одноразовый аванс»
2. Установить размер аванса (рекомендуется ≥28%)
3. Проверить валидацию (Двухуровневая):
• Уровень 1 (КЭ): Аванс ≥ 28% → 🟢 (Норматив пройден).
• Уровень 2 (СП): Аванс ≥ Проектная ТБ (после расчёта СП Контур 1) → 🟢 (Go).
• 15% ≤ Аванс &lt;28% → 🟡 (Риск убытка, требуется обоснование).
• Аванс &lt;15% → 🔴 (Блокировка запуска)
4. Нажать кнопку [Подтвердить аванс]</t>
  </si>
  <si>
    <t>1. Система проверяет соответствие аванса точке безубыточности:
• Аванс ≥ ТБ → 🟢
• Аванс &lt; ТБ → 🟡 + предупреждение
• Аванс &lt;15% → 🔴 (блокировка)
2. Система проверяет кассовый буфер:
• Если Аванс × Сумма_договора &lt; ФОТ × 3 дня → 🔴 (блокировка)
3. Прогресс-бар обновляется:
• ☑ 2.2 Порядок и сроки оплаты ✅
• ☐ 2.3 Состав цены ⏳</t>
  </si>
  <si>
    <t>Справочники:
• Справочник экономических норм Орбит:
— Точка безубыточности (ТБ) — рассчитывается как минимальная сумма, покрывающая все затраты до первого этапа оплаты
— Норма аванса = 15–30%
— Порог отклонения = 30%
— Кассовый буфер ≥ ФОТ × 3 дня
• КЭ.Э1.Буфер_времени (диапазон 0–100%, фиксируется в Конструкторе Экономики)
Системные данные:
• Поле «Буфер_времени_направление» = значение из КЭ.Э1 (0–100%)
• Флаг «Буфер_зафиксирован» = да/нет
• Флаг «Изменение_требует_допсоглашения» = да (после фиксации КЭ)
• Поле «Сумма_договора» = 5 809 068 ₽ (из Шага 1)
• Поле «ТБ_процент» = 28% (рассчитано Планировщиком)
• Поле «ТБ_сумма» = 1 626 539 ₽
• Поле «ФОТ_реальный» = 1 875 000 ₽
• Поле «Кассовый_буфер» = 187 500 ₽</t>
  </si>
  <si>
    <t>Алгоритм расчёта точки безубыточности:
ТБ = Минимальная_сумма, где Накопленная_выручка ≥ Накопленные_затраты(ФОТ + накладные)
ТБ_процент = ТБ_сумма / Сумма_договора
Алгоритм валидации аванса:
(Двухуровневая ТБ):
ЕСЛИ Сценарий = "Одноразовый":
ТБ_Уровень_1 = КЭ.Э1.ТБ_Процент (28%)
ТБ_Уровень_2 = СП.Контур_1.Проектная_ТБ (Расчётная)
ЕСЛИ Аванс &lt; 0,15:
Статус = "🔴 Ошибка", Блокировка = да
ИНАЧЕ ЕСЛИ Аванс &lt; ТБ_Уровень_1 ИЛИ Аванс &lt; ТБ_Уровень_2:
Статус = "🟡 Предупреждение", Блокировка = нет (требуется обоснование РН)
ИНАЧЕ (Аванс ≥ ТБ_Уровень_1 И Аванс ≥ ТБ_Уровень_2):
Статус = "🟢 Валидно", Блокировка = нет
Кассовый_буфер_проверка = (Аванс × Сумма_договора ≥ ФОТ × 3)</t>
  </si>
  <si>
    <t>• Точка безубыточности (ТБ) — ключевой ориентир для расчёта аванса, а не просто норма 15–30%
• Цель: аванс должен покрывать все затраты до первого этапа оплаты (обычно первый этап ГПР)
• Пропорциональный расчёт применяется ко всем актам:
— Каждый акт оплаты = Сумма_акта × (1 − Аванс)
• Сроки оплаты (3 раб. дня) соответствуют стандартам 
• Буфер времени 0–100% фиксируется в КЭ.Э1 ДО запуска первого проекта направления
• Буфер направления (КЭ.Э1) применяется в ГПР (Контур 1) — сроки для Заказчика в договоре
• Изменение буфера после запуска проекта требует допсоглашения (см. КЭ Э1)</t>
  </si>
  <si>
    <t>Форма «2.2 Порядок и сроки оплаты»
Выбор формулировки аванса:
• ☐ Одноразовый аванс
• ☑ Двухразовый аванс
— «Стороны согласовали величину аванса в размере (___)%. Его оплата производится двумя частями:
— первая часть оплачивается в течение [3 (трёх)] рабочих дней с даты подписания Договора,
— вторая часть — после выполнения и приёмки первого этапа Работ, указанного в Графике производства работ (Приложение №3), на основании подписанного Сторонами Акта о приёмке выполненных работ.»
Поля для ввода (двухразовый аванс):
• Первая часть аванса: [20] % ← поле ввода (Заказчик указывает приемлемую сумму)
• Сумма работ до ТБ: [1 110 000] ₽ ← автоматически из ГПР (выполнено до дня ТБ)
• Вторая часть аванса: [−845 275] ₽ ← автоматически = ТБ − (Первая_часть + Сумма_работ_до_ТБ)
• Общий аванс: [20] % ← если Вторая_часть ≤ 0, то Общий_аванс = Первая_часть
• Срок оплаты первой части: [3] рабочих дня
• Срок оплаты второй части: после приёмки первого этапа ГПР
• Срок оплаты последующих этапов: [3] рабочих дня
Валидация аванса:
(Двухразовый, Двухуровневая ТБ):
• Точка безубыточности (ТБ):
— Уровень 1 (КЭ.Э1): 28% = [Сумма] ₽
— Уровень 2 (Проектная): [Сумма] ₽ (Расчёт СП Контур 1)
• Первая часть ≥15% → 🟢
• Первая часть &lt;15% → 🔴 (блокировка)
• Общий аванс (Первая + Вторая) ≥ ТБ_Уровень_1 И ≥ ТБ_Уровень_2 → 🟢
• Кассовый буфер: ≥ ФОТ × 3 дня
Уведомление системы:
«✅ Первая часть аванса (20%) + выполненные работы до ТБ (1 110 000 ₽) = 2 271 814 ₽ &gt; ТБ (1 626 539 ₽). Вторая часть аванса не требуется»</t>
  </si>
  <si>
    <t>Предпросмотр п. 2.2 в договоре (двухразовый аванс):
«2.2. Оплата по настоящему договору производится в следующем порядке:
— 20% аванса — в течение 3 (трёх) рабочих дней с даты подписания настоящего Договора;
— 80% — поэтапно, пропорционально фактически выполненному и принятому Заказчиком объёму Работ на основании подписанных Сторонами Актов о приёмке выполненных работ (форма КС-2), согласно Графику производства работ (Приложение №3), на основании Справки о стоимости выполненных работ и затрат (форма КС-3) — не позднее 3 (трёх) рабочих дней с момента подписания Акта КС-2 по соответствующему этапу сдачи.»</t>
  </si>
  <si>
    <t>1. Выбрать формулировку «Двухразовый аванс»
2. Указать первую часть аванса (приемлемую для Заказчика, но ≥15%)
3. Система автоматически:
• Определяет сумму работ, выполненных до дня ТБ (из ГПР)
• Рассчитывает вторую часть = ТБ − (Первая_часть + Сумма_работ_до_ТБ)
4. Если вторая часть ≤ 0 → система деактивирует двухразовый аванс и предлагает одноразовый
5. Нажать кнопку [Подтвердить аванс]</t>
  </si>
  <si>
    <t>1. Система проверяет первую часть аванса:
• Первая часть ≥15% → 🟢
• Первая часть &lt;15% → 🔴 (блокировка)
2. Система рассчитывает вторую часть:
• Вторая_часть = ТБ − (Первая_часть + Сумма_работ_до_ТБ)
• Если Вторая_часть ≤ 0 → Сценарий = "Одноразовый"
3. Прогресс-бар обновляется:
• ☑ 2.2 Порядок и сроки оплаты ✅
• ☐ 2.3 Состав цены ⏳</t>
  </si>
  <si>
    <t>Справочники:
• Справочник экономических норм Орбит:
— Точка безубыточности (ТБ) — фиксированный ориентир для расчёта аванса
— Минимальная первая часть = 15% (порог отклонения)
— Кассовый буфер ≥ ФОТ × 3 дня
Системные данные:
• Поле «ТБ_процент» = 28%
• Поле «ТБ_сумма» = 1 626 539 ₽
• Поле «Первая_часть_процент» — вводится пользователем
• Поле «Сумма_работ_до_ТБ» — берётся из ГПР (выполнено до дня ТБ)
• Поле «Вторая_часть_сумма» = ТБ_сумма − (Первая_часть_сумма + Сумма_работ_до_ТБ)
• Поле «Буфер_времени_направление» = значение из КЭ.Э1 (0–100%)
• Флаг «Буфер_зафиксирован» = да/нет
• Флаг «Изменение_требует_допсоглашения» = да (после фиксации КЭ)</t>
  </si>
  <si>
    <t>Алгоритм расчёта двухразового аванса:
ЕСЛИ Сценарий = "Двухразовый":
Сумма_работ_до_ТБ = Σ(Сумма_этапов_ГПР[до_дня_ТБ])
Вторая_часть = ТБ − (Первая_часть + Сумма_работ_до_ТБ)
ЕСЛИ Вторая_часть ≤ 0:
Сценарий = "Одноразовый"
Подсказка("Первая часть аванса + выполненные работы до ТБ покрывают ТБ. Двухразовый аванс не требуется")
ИНАЧЕ:
Общий_аванс = Первая_часть + Вторая_часть
ЕСЛИ Первая_часть &lt; 0,15:
Статус = "Ошибка", Подсказка("Первая часть аванса &lt;15% — запуск проекта заблокирован")
Валидация аванса (Двухуровневая ТБ):
• Уровень 1 (КЭ.Э1): ТБ = 28% = [Сумма] ₽ (фиксированный порог направления)
• Уровень 2 (СП Контур 1): ТБ_Проектная = [Сумма] ₽ (расчётная себестоимость до первого этапа оплаты)
• Аванс &lt; ТБ_Уровень_1 ИЛИ Аванс &lt; ТБ_Проектная → 🔴 Блокировка запуска</t>
  </si>
  <si>
    <t>• Ключевой принцип: двухразовый аванс используется только если первая часть аванса + выполненные работы до ТБ не покрывают ТБ
• Сумма работ до ТБ — это выручка от этапов ГПР, завершённых до наступления дня ТБ
• Если Вторая_часть ≤ 0 — система автоматически переключается на одноразовый аванс (двухразовый не нужен)
• Пропорциональный расчёт применяется ко всем актам (как в одноразовом авансе), так как ТБ уже покрыта</t>
  </si>
  <si>
    <t>п. 2 Цена и порядок расчётов
Прогресс-бар:
☑ 2.1 Общая стоимость договора ✅
☑ 2.2 Порядок и сроки оплаты ✅
☐ 2.3 Состав цены ⏳
☐ 2.4 Условия изменения цены
☐ 2.5–2.9 Прочие условия</t>
  </si>
  <si>
    <t>Форма «2.3 Состав цены»
Автоматически сформированные пункты:
• ☑ а) стоимость полного объёма Работ, указанного в Смете (Приложение №1);
• ☑ б) все издержки и иные расходы Подрядчика, связанные с исполнением Договора (включая логистику, подготовку персонала, организацию производства и т.п.);
• ☑ в) расходы на уплату налогов, сборов, таможенных пошлин и иных обязательных платежей, подлежащих уплате Подрядчиком в соответствии с законодательством Российской Федерации, в том числе НДС (при его применении).
Источники данных:
• Пункт (а) — ссылка на Приложение №1 (Смета)
• Пункт (б) — ссылка на накладные расходы из расчёта ФОТ (Этап Б1)
• Пункт (в) — автоматическое определение НДС на основе СНО Подрядчика</t>
  </si>
  <si>
    <t>Предпросмотр п. 2.3 в договоре:
«2.3. В цену Договора входят:
а) стоимость полного объёма Работ, указанного в Смете (Приложение №1);
б) все издержки и иные расходы Подрядчика, связанные с исполнением Договора (включая логистику, подготовку персонала, организацию производства и т.п.);
в) расходы на уплату налогов, сборов, таможенных пошлин и иных обязательных платежей, подлежащих уплате Подрядчиком в соответствии с законодательством Российской Федерации, в том числе НДС (при его применении).»</t>
  </si>
  <si>
    <t>1. Проверить корректность автоматически сформированных пунктов
2. Убедиться, что ссылки на Приложения корректны
3. Нажать кнопку [Подтвердить состав цены]</t>
  </si>
  <si>
    <t>1. Система фиксирует состав цены во внутреннем приложении
2. Прогресс-бар обновляется:
• ☑ 2.3 Состав цены ✅
• ☐ 2.4 Условия изменения цены ⏳
3. Система проверяет соответствие состава цены расчётам из Этапа Б1:
• Если расхождение → предупреждение «Проверьте соответствие накладных расходов»</t>
  </si>
  <si>
    <t>Справочники:
• Справочник статей накладных расходов — для пункта (б)
• Справочник СНО — для определения НДС в пункте (в)
Системные данные:
• Поле «Сумма_сметы» = 5 809 068 ₽ (из Этапа Б1)
• Поле «Накладные_расходы» = 1 283 863 ₽ (из расчёта «Оптимальный состав»)
• Поле «СНО_Подрядчика» = ОСНО (из преамбулы)
• Флаг «Применяет_НДС» = да</t>
  </si>
  <si>
    <t>Алгоритм формирования состава цены:
Пункт_а = "стоимость полного объёма Работ, указанного в Смете (Приложение №1)"
Пункт_б = "все издержки и иные расходы Подрядчика... включая:" + Список_статей_накладных
Пункт_в = "расходы на уплату налогов... в том числе НДС (" + ЕСЛИ Применяет_НДС = да ТО "20%" ИНАЧЕ "без НДС" + ")"
Алгоритм валидации:
ЕСЛИ Сумма_сметы ≠ (ФОТ + Накладные + НДС)
ТО Отобразить_предупреждение("Проверьте соответствие состава цены расчётам")
ИНАЧЕ Статус_валидации = "Валидно"</t>
  </si>
  <si>
    <t>• Пункт (а) — прямая ссылка на Смету (Приложение №1), исключает двойное толкование объёма работ.
• Пункт (б) — включает все накладные расходы из расчёта «Оптимальный состав»:
— Логистика (проезд, доставка)
— СИЗ
— Аренда инструмента/оборудования
— Координация ПТО
— Инфраструктурные расходы (5%)
• Пункт (в) — автоматически адаптируется под СНО Подрядчика:
— ОСНО + применяет НДС → «в том числе НДС 20%»
— УСН/ЕНВД → «в том числе НДС (без НДС)»
• Принцип ценообразования: Цена договора формируется на основе рыночных ставок (Сценарий «Специалисты»), но реальная себестоимость снижается за счёт системы наставничества (Сценарий «Оптимальный состав»). Разница не идёт на снижение оплаты исполнителям (они получают выше рынка), а формирует маржу системы.
• Все пункты фиксированы и не подлежат редактированию — это стандартная формулировка для защиты от претензий.</t>
  </si>
  <si>
    <t>п. 2 Цена и порядок расчётов
Прогресс-бар:
☑ 2.1 Общая стоимость договора ✅
☑ 2.2 Порядок и сроки оплаты ✅
☑ 2.3 Состав цены ✅
☐ 2.4 Условия изменения цены ⏳
☐ 2.5–2.9 Прочие условия</t>
  </si>
  <si>
    <t>Форма «2.4 Условия изменения цены»
Автоматическое определение наличия операций с флагом ⚠️:
• Операции с «Планируемым нормативом»:
— Сборка каркасов (1.1)
— Разноска по проёмам (1.2)
— Укрытие плёнкой (1.5)
• Статус оговорки: ☑ Активна
Поля для подтверждения:
• Текст оговорки:
«Цена подлежит уточнению после установления фактического норматива для операций: сборка каркасов, разноска по проёмам, укрытие плёнкой»
• Кнопка [Подтвердить оговорку]</t>
  </si>
  <si>
    <t>Предпросмотр п. 2.4 в договоре:
«2.4. Цена Договора может быть пересмотрена в случаях изменения состава и объёма Работ, согласованного Сторонами, а также изменениями, вызванные корректировкой Графика производства работ по инициативе Заказчика. Изменение цены оформляется путём подписания Сторонами Дополнительного соглашения к настоящему Договору.
Цена подлежит уточнению после установления фактического норматива для операций: сборка каркасов, разноска по проёмам, укрытие плёнкой.»</t>
  </si>
  <si>
    <t>1. Проверить список операций с флагом ⚠️
2. Убедиться, что текст оговорки корректен
3. Нажать кнопку [Подтвердить оговорку]</t>
  </si>
  <si>
    <t>1. Система фиксирует оговорку во внутреннем приложении
2. Прогресс-бар обновляется:
• ☑ 2.4 Условия изменения цены ✅
• ☐ 2.5–2.9 Прочие условия ⏳
3. Система проверяет наличие оговорки при экспорте договора:
• Если операции ⚠️ есть, но оговорка не подтверждена → блокировка экспорта</t>
  </si>
  <si>
    <t>Справочники:
• Справочник операций — источник данных:
— Флаг «Планируемый норматив» ⚠️
— Колонка «Инструкция (ссылка)» (для буфера 1,3/1,15)
— Физ. ограничения (Вес &gt;40кг, Площадь &gt;2,5м², Высота &gt;2м)
• КП передаёт маркеры в КД:
— Видеоинструкция: Пустая ссылка → 1,3 / Есть ссылка → 1,15
— Физ. ограничения: Вес &gt;40кг / Площадь &gt;2,5м² / Высота &gt;2м → расчёт численности с коэффициентом
Системные данные:
• Поле «Операции_с_флагом_⚠️» = {1.1, 1.2, 1.5}
• Флаг «Оговорка_активна» = да/нет
• Текст_оговорки = шаблон с перечислением операций ⚠️
• Поле «ПД_процент» = 0,02 (2% от стоимости операции)
• Поле «ПД_порог_улучшения» = 0,07 (7% улучшение норматива)
• Поле «ПД_выплата» = 10-е число месяца, следующего за расчётным</t>
  </si>
  <si>
    <t>Алгоритм активации оговорки:
ЕСЛИ Существуют_операции_с_флагом_⚠️ = да
ТО Флаг_оговорки = "Активна"
Текст_оговорки = "Цена подлежит уточнению после установления фактического норматива для операций: " + Список_операций_⚠️
ИНАЧЕ Флаг_оговорки = "Неактивна"
Алгоритм валидации:
ЕСЛИ Флаг_оговорки = "Активна" И Оговорка_не_подтверждена = да
ТО Блокировать_экспорт = да
Подсказка("Добавьте оговорку для операций с планируемым нормативом")
Алгоритм расчёта пассивного дохода:
ДЛЯ КАЖДОГО исполнителя:
ЕСЛИ (Исполнитель.Статус ≠ «Уволен») И (ЕСТЬ_улучшения = да):
ПД_месяц = 0
ДЛЯ КАЖДОЙ улучшенной_операции:
ЕСЛИ (Норматив_новый / Норматив_старый ≤ 0,93):
ПД_операция = Σ(Объём_j × Цена_j × 0,02) по всем проектам j
ПД_месяц += ПД_операция
ИНАЧЕ: ПД_месяц = 0 (условия не выполнены)
Алгоритм защиты от деградации:
ЕСЛИ Исполнитель.Статус = «Уволен»:
ПД_месяц = 0 (выплаты прекращаются)
НО история улучшений сохраняется в справочнике</t>
  </si>
  <si>
    <t>• Оговорка обязательна при наличии операций с флагом ⚠️ («Планируемый норматив»).
• Цель оговорки: юридическая защита от претензий при уточнении цены после установления фактического норматива.
• Механизм ПД: Улучшение норматива ≥7% → исполнитель получает 2% от стоимости операции во всех будущих проектах с этой операцией.
• Условия выплаты: Исполнитель остаётся в системе «Орбиты» (статус ≠ «Уволен»), выплата 10-го числа месяца, следующего за расчётным.
• Влияние на цену договора: Улучшение норматива НЕ снижает цену для Заказчика автоматически (цена фиксируется в договоре), экономия идёт в маржу системы и ПД исполнителю.
• После установления фактического норматива операция получает флаг «Фактический норматив» ✅ и больше не требует оговорки.
• Оговорка добавляется в конец п. 2.4 как отдельный абзац.
• Архитектурные принципы Орбиты (Корректировка №15):
— Принцип 3 (Бенефициар норматива): ТЗ содержит ссылки на видеоинструкции. Исполнитель, улучшивший норматив ≥7%, становится бенефициаром всех будущих проектов с этой операцией (ПД 2%).</t>
  </si>
  <si>
    <t>п. 2 Цена и порядок расчётов
Прогресс-бар:
☑ 2.1 Общая стоимость договора ✅
☑ 2.2 Порядок и сроки оплаты ✅
☑ 2.3 Состав цены ✅
☑ 2.4 Условия изменения цены ✅
☐ 2.5–2.9 Прочие условия ⏳</t>
  </si>
  <si>
    <t>Форма «2.5–2.9 Прочие условия»
Автоматически сформированные пункты:
• 2.5. Начало выполнения Работ Подрядчиком после поступления авансового платежа, указанного в п. 2.2.
• 2.6. Все расчёты между Сторонами осуществляются путём безналичного перевода денежных средств на расчётные счета Сторон. Подрядчик не приступает к выполнению очередного этапа Работ до фактического поступления соответствующей части оплаты, предусмотренной ГПР и Сметой.
• 2.7. В случае просрочки оплаты любого этапа более чем на 3 (три) рабочих дня Подрядчик вправе приостановить выполнение Работ без начисления штрафных санкций на свою сторону, а сроки выполнения сдвигаются на количество дней просрочки.
• 2.8. В случае выявления Заказчиком некачественно выполненных Работ Подрядчик обязан за свой счёт и без увеличения стоимости Договора устранить указанные недостатки в согласованный Сторонами срок. Данное обязательство не применяется, если недостатки возникли вследствие предоставления Заказчиком Подрядчику ошибочных проектных решений, технических требований, иных исходных данных, а также некачественных материалов, конструкций или оборудования. При отказе Подрядчика от устранения недостатков Заказчик вправе привлечь для их исправления третье лицо, а все связанные с этим расходы подлежат возмещению Подрядчиком в полном объёме.
• 2.9. В случае приостановки Работ Подрядчиком по вине Заказчика (включая, но не ограничиваясь: несвоевременную передачу проектной документации, технических решений или материалов, отсутствие допуска на Объект, изменение условий производства работ без согласования), при условии, что Подрядчик направил Заказчику письменное уведомление о причинах остановки не менее чем за 1 (один) рабочий день, Заказчик обязан компенсировать Подрядчику убытки в виде стоимости простоя. Расчёт стоимости простоя производится на основании количества человеко-часов, фактически задействованных Подрядчиком на момент приостановки, умноженного на согласованную стоимость одного человеко-часа. Согласованная стоимость одного человеко-часа составляет 4 384 рублей и указана в Смете (Приложение №1).</t>
  </si>
  <si>
    <t>Предпросмотр п. 2.5–2.9 в договоре:
«2.5. Начало выполнения Работ Подрядчиком после поступления авансового платежа, указанного в п. 2.2.
2.6. Все расчёты между Сторонами осуществляются путём безналичного перевода денежных средств на расчётные счета Сторон. Подрядчик не приступает к выполнению очередного этапа Работ до фактического поступления соответствующей части оплаты, предусмотренной ГПР и Сметой.
2.7. В случае просрочки оплаты любого этапа более чем на 3 (три) рабочих дня Подрядчик вправе приостановить выполнение Работ без начисления штрафных санкций на свою сторону, а сроки выполнения сдвигаются на количество дней просрочки.
2.8. В случае выявления Заказчиком некачественно выполненных Работ Подрядчик обязан за свой счёт и без увеличения стоимости Договора устранить указанные недостатки в согласованный Сторонами срок. Данное обязательство не применяется, если недостатки возникли вследствие предоставления Заказчиком Подрядчику ошибочных проектных решений, технических требований, иных исходных данных, а также некачественных материалов, конструкций или оборудования. При отказе Подрядчика от устранения недостатков Заказчик вправе привлечь для их исправления третье лицо, а все связанные с этим расходы подлежат возмещению Подрядчиком в полном объёме.
2.9. В случае приостановки Работ Подрядчиком по вине Заказчика (включая, но не ограничиваясь: несвоевременную передачу проектной документации, технических решений или материалов, отсутствие допуска на Объект, изменение условий производства работ без согласования), при условии, что Подрядчик направил Заказчику письменное уведомление о причинах остановки не менее чем за 1 (один) рабочий день, Заказчик обязан компенсировать Подрядчику убытки в виде стоимости простоя. Расчёт стоимости простоя производится на основании количества человеко-часов, фактически задействованных Подрядчиком на момент приостановки, умноженного на согласованную стоимость одного человеко-часа. Согласованная стоимость одного человеко-часа составляет 4 384 (четыре тысячи триста восемьдесят четыре) рубля 00 копеек и указана в Смете (Приложение №1).»</t>
  </si>
  <si>
    <t>1. Проверить корректность автоматически сформированных пунктов
2. Убедиться, что стоимость человеко-часа в п. 2.9 рассчитана как Общая стоимость договора / Общее время выполнения работ
3. Нажать кнопку [Подтвердить прочие условия]</t>
  </si>
  <si>
    <t>1. Система фиксирует прочие условия во внутреннем приложении
2. Прогресс-бар обновляется:
• ☑ 2.5–2.9 Прочие условия ✅
• ☑ Этап Б2 завершён ✅
3. Система проверяет расчёт стоимости человеко-часа:
• 5 809 068 ₽ / 1 325 ч = 4 384 ₽/ч → ✅</t>
  </si>
  <si>
    <t>Справочники:
• Справочник стандартных формулировок договора — для пунктов 2.5–2.9
• Справочник операций — источник данных об общем времени выполнения работ
Системные данные:
• Поле «Сумма_договора» = 5 809 068 ₽
• Поле «Общее_время_работ» = 1 325 часов (из Справочника операций)
• Поле «Стоимость_человеко_часа» = Сумма_договора / Общее_время_работ = 4 384 ₽/ч
• Флаг «Этап_Б2_завершён» = да</t>
  </si>
  <si>
    <t>Алгоритм расчёта стоимости человеко-часа:
Стоимость_человеко_часа = Сумма_договора / Общее_время_выполнения_работ
где Общее_время_выполнения_работ = Σ(Время_операций из Справочника операций)
Алгоритм формирования прочих условий:
Пункт_2.9 = "...Согласованная стоимость одного человеко-часа составляет " + Стоимость_человеко_часа + " (" + Пропись(Стоимость_человеко_часа) + ") рубля 00 копеек..."
Алгоритм валидации:
ЕСЛИ Стоимость_человеко_часа ≠ (Сумма_договора / Общее_время_работ)
ТО Отобразить_предупреждение("Проверьте расчёт стоимости человеко-часа в п. 2.9")
ИНАЧЕ Статус_валидации = "Валидно"</t>
  </si>
  <si>
    <t>• Стоимость человеко-часа рассчитывается автоматически как средневзвешенное значение 
  по всему проекту:
  — 5 809 068 ₽ / 1 325 ч = 4 384 ₽/ч
• Это не рыночная ставка специалиста, а средняя стоимость часа проекта (включая все 
  работы, накладные, маржу).
• Пункт 2.9 обеспечивает прозрачную компенсацию простоев по вине Заказчика.
• Все остальные пункты (2.5–2.8) — стандартная юридическая защита Подрядчика от рисков.
• Корректировка №14: Пассивный доход (ПД) исполнителя:
  — Улучшение норматива ≥7% → исполнитель получает 2% от стоимости операции во всех 
    будущих проектах.
  — Выплата 10-го числа месяца, следующего за расчётным.
  — Условие: Исполнитель остаётся в системе «Орбиты» (статус ≠ «Уволен»).
  — Влияние на маржу: +4,2% (входит в итоговую маржу +55,6%).
• Стабильность маржи:
  — Базовая маржа +47,5% обеспечивается Правилами 1–4 (КЭ.Э9, Э10.2).
  — Эффекты Правил отслеживаются после 4 проектов для аналитики направления.
  — Операционно Правила 1–4 применяются всегда (не отключаются).
• Корректировка №15: Архитектурные принципы Орбиты:
  — Принцип 1 (Алгоритм = координатор): Расчёт стоимости человеко-часа выполняется 
    алгоритмом КД на основе данных КП + КЭ. Ручное вмешательство запрещено.
  — Принцип 2 (Цифровые двойники): Данные о времени операций сохраняются в 
    структурированном формате для аналитики и машинного обучения.
  — Принцип 3 (Бенефициар норматива): Исполнитель, улучшивший норматив ≥7%, 
    становится бенефициаром всех будущих проектов с этой операцией (ПД 2%).
• Корректировка №16: Фиксация модели (4 проекта ИЛИ 90 дней):
  — Справочник операций блокируется на обновление на 4 проекта ИЛИ 90 дней.
  — Изменение требует допсоглашения со всеми проектами направления.
  — После разблокировки система предлагает РН обновить модель КЭ (Э1–Э12).</t>
  </si>
  <si>
    <t>п. 3 Обязанности сторон
Прогресс-бар:
☐ 3.1 Обязанности Заказчика ⏳
☐ 3.2 Обязанности Подрядчика</t>
  </si>
  <si>
    <t>Форма «3.1 Обязанности Заказчика»
Автоматически сгенерированные пункты (на основе данных из других разделов):
• 3.1.2 Финансирование — ссылка на п. 2.2
• 3.1.3 Документация — ссылка на п. 1.3 и Приложение №2
• 3.1.4 График поставок — ссылка на Приложение №3
• 3.1.5 Поставка материалов — адаптировано под п. 1.4:
— Если материалы предоставляет Заказчик → полный текст обязанностей
— Если материалы предоставляет Подрядчик → пункт скрыт
• 3.1.6–3.1.7 Передача захваток — комбинированный источник:
— Сроки — из Приложения №3 (ГПР)
— Параметры — из Приложения №2 (ТЗ)
• 3.1.8–3.1.15 Контроль, приёмка, оплата — адаптированы под ГПР и формы КС-2/КС-3
Генерация операций для Заказчика:
• Система анализирует КП на наличие операций, соответствующих обязанностям
• Для отсутствующих операций формируется Таблица предложений:
Таблица предложений операций Заказчика:
| № | Название операции | Место размещения | Действие |
|---|------------------|------------------|----------|
| 1 | Организация охраняемых складских помещений (Заказчик) | Между «Передача проектной документации» и «Поставка материалов» | [+Операцию] |
| 2 | Предоставление подъёмников и манипуляторов (Заказчик) | Между «Организация складских помещений» и «Передача захватки» | [+Операцию] |
| 3 | Передача захватки по Акту (Заказчик) | Между «Предоставление техники» и «Начало монтажа каркасов» | [+Операцию] |
Возможность редактирования:
• Каждый пункт имеет кнопку [Редактировать]
• При редактировании требуется указать причину изменения
• Система проверяет конфликты с источниками (п. 1.4, ГПР, ТЗ)</t>
  </si>
  <si>
    <t>Предпросмотр п. 3.1 в договоре:
«3.1. Обязанности Заказчика
В течение срока действия настоящего Договора Заказчик обязан:
3.1.2 Обеспечить полное и своевременное финансирование выполненных Подрядчиком Работ в порядке и сроки, установленные п. 2 настоящего Договора;
3.1.3 Передать Подрядчику, по акту, полный комплект согласованной проектной и рабочей документации... до начала выполнения соответствующих Работ;
...
3.1.5 Обеспечить своевременную поставку и разгрузку... всех конструкций, материалов и оборудования...
...
3.1.15 Оплатить Подрядчику, стоимость согласованных к применению материалов... на основании выставленных Подрядчиком счетов...»</t>
  </si>
  <si>
    <t>1. Проверить корректность автоматически сгенерированных пунктов
2. Убедиться, что пункты 3.1.5 и 3.1.15 скрыты, если материалы предоставляет Подрядчик
3. Проанализировать Таблицу предложений операций:
• Проверить корректность названий операций
• Проверить правильность места размещения
4. Нажать [+Операцию] напротив каждой необходимой операции
5. При необходимости нажать [Редактировать] и внести правки с указанием причины
6. Нажать кнопку [Подтвердить обязанности Заказчика]</t>
  </si>
  <si>
    <t>1. Система фиксирует текст п. 3.1 во внутреннем приложении
2. Для каждой подтверждённой операции:
• Операция добавляется в КП в указанное место
• В ГПР появляется строка с ролью «Заказчик»
• Настраивается мониторинг выполнения
3. Прогресс-бар обновляется:
• ☑ 3.1 Обязанности Заказчика ✅
• ☐ 3.2 Обязанности Подрядчика ⏳
4. Система проверяет конфликты:
• Если материалы = Подрядчик, но п. 3.1.5 не скрыт → предупреждение
• Если сроки передачи захваток ≠ датам в ГПР → предупреждение
5. Экспорт не блокируется — ответственность на пользователе</t>
  </si>
  <si>
    <t>Справочники:
• Справочник стандартных формулировок договора
• Справочник операций (для анализа существующих операций)
• Справочник ролей (Заказчик/Подрядчик)
Системные данные:
• Поле «Источник_материалов» = Заказчик/Подрядчик (из п. 1.4)
• Поле «Сроки_захваток» = даты из Приложения №3
• Поле «Параметры_захваток» = данные из Приложения №2
• Таблица «Предложенные_операции_Заказчика»
• Флаг «Конфликт_материалов» = да/нет
• Флаг «Конфликт_захваток» = да/нет</t>
  </si>
  <si>
    <t>Алгоритм генерации п. 3.1:
ЕСЛИ Источник_материалов = "Заказчик":
Показать_пункты(3.1.5, 3.1.15)
ИНАЧЕ:
Скрыть_пункты(3.1.5, 3.1.15)
Для_пунктов(3.1.6, 3.1.7):
Сроки = Дата_начала_этапа_в_ГПР
Параметры = Описание_захватки_в_ТЗ
Алгоритм генерации операций:
ДЛЯ КАЖДОГО подпункта п. 3.1:
ЕСЛИ подпункт требует выполнения И операция_отсутствует_в_КП:
Создать_предложение_операции()
Определить_место_размещения(предыдущая_операция, следующая_операция)
Добавить_в_Таблицу_предложений()
При_нажатии_[+Операцию]:
Добавить_операцию_в_КП(место_размещения)
Обновить_ГПР()
Назначить_роль("Заказчик")
Настроить_мониторинг()
При_редактировании:
Запросить("Укажите причину изменения")
Проверить_конфликты()
ЕСЛИ Конфликт = да:
Показать_предупреждение("Возможное несоответствие с другими разделами")</t>
  </si>
  <si>
    <t xml:space="preserve">• Адаптация под п. 1.4 — ключевой механизм: если материалы предоставляет Подрядчик, обязанности Заказчика по поставке автоматически исключаются
• Комбинированный источник для захваток — сроки из ГПР, параметры из ТЗ (обеспечивает точность)
• Генерация операций — трансформация текстовых обязанностей в контролируемые действия в КП/ГПР
• Таблица предложений — прозрачный интерфейс для подтверждения новых операций
• Мониторинг выполнения — система автоматически отслеживает выполнение операций Заказчиком и отправляет уведомления
• Ручное редактирование разрешено, но система предупреждает о конфликтах (баланс между гибкостью и контролем)
• Все операции Подрядчика входят в общую последовательность работ и влияют на расчёт сроков и стоимости
• Ограничение 60 минут до старта применяется ко всем операциям Подрядчика для защиты от хаотичного планирования
• Это обеспечивает готовность исполнителей, инструмента и материалов к моменту начала работ
</t>
  </si>
  <si>
    <t>п. 3 Обязанности сторон
Прогресс-бар:
☑ 3.1 Обязанности Заказчика ✅
☐ 3.2 Обязанности Подрядчика ⏳</t>
  </si>
  <si>
    <t>Форма «3.2 Обязанности Подрядчика»
Автоматически сгенерированные пункты (на основе данных из других разделов):
• 3.2.1 Выполнение работ — ссылка на Приложение №1, №2, №3
• 3.2.2–3.2.3 Персонал и инструмент — ссылка на Справочник операций
• 3.2.4–3.2.5 Материалы — адаптировано под п. 1.4:
— Если материалы предоставляет Подрядчик → полный текст обязанностей
— Если материалы предоставляет Заказчик → акцент на применение и ответственность за повреждение
• 3.2.6–3.2.17 Контроль, безопасность, ответственность — адаптированы под ГПР и Справочник операций
Генерация операций для Подрядчика:
• Система анализирует КП на наличие операций, соответствующих обязанностям
• Для отсутствующих операций формируется Таблица предложений:
Таблица предложений операций Подрядчика:
| № | Название операции | Место размещения | Действие |
|---|------------------|------------------|----------|
| 1 | Назначение ответственных за производство и безопасность (Подрядчик) | Между «Начало проекта» и «Передача документации» | [+Операцию] |
| 2 | Ежедневная уборка рабочего места (Подрядчик) | После каждой операции монтажа | [+Операцию] |
| 3 | Сдача скрытых работ (Подрядчик) | Перед началом последующих видов работ | [+Операцию] |
| 4 | Обеспечение присутствия представителя (Подрядчик) | На протяжении всего периода выполнения работ | [+Операцию] |
Возможность редактирования:
• Каждый пункт имеет кнопку [Редактировать]
• При редактировании требуется указать причину изменения
• Система проверяет конфликты с источниками (Смета, ГПР, ТЗ)</t>
  </si>
  <si>
    <t>Предпросмотр п. 3.2 в договоре:
«3.2. Обязанности Подрядчика
Подрядчик обязан:
3.2.1 Выполнить своими силами и средствами все Работы в объёме, качестве и сроках, предусмотренных настоящим Договором, Сметой (Приложение №1), Техническим заданием (Приложение №2) и Графиком производства работ (Приложение №3), и по Актам сдать их Заказчику;
3.2.2 Допускать к выполнению Работ только квалифицированный персонал...;
...
3.2.4 Применять при выполнении Работ материалы, изделия и конструкции, предоставленные Заказчиком...;
...
3.2.17 Сдавать скрытые работы (указанные в Техническом задании) до начала последующих видов работ...»</t>
  </si>
  <si>
    <t>1. Проверить корректность автоматически сгенерированных пунктов
2. Убедиться, что формулировки 3.2.4–3.2.5 адаптированы под п. 1.4 (кто предоставляет материалы)
3. Проанализировать Таблицу предложений операций:
• Проверить корректность названий операций
• Проверить правильность места размещения
4. Нажать [+Операцию] напротив каждой необходимой операции
5. При необходимости нажать [Редактировать] и внести правки с указанием причины
6. Нажать кнопку [Подтвердить обязанности Подрядчика]</t>
  </si>
  <si>
    <t>1. Система фиксирует текст п. 3.2 во внутреннем приложении
2. Для каждой подтверждённой операции:
• Операция добавляется в КП в указанное место
• В ГПР появляется строка с ролью «Подрядчик»
• Настраивается внутренний контроль выполнения
3. Прогресс-бар обновляется:
• ☑ 3.2 Обязанности Подрядчика ✅
• ☑ Этап Б3 завершён ✅
4. Система проверяет конфликты:
• Если материалы = Заказчик, но 3.2.4 не адаптирован → предупреждение
• Если сроки сдачи скрытых работ ≠ датам в ГПР → предупреждение
5. Экспорт не блокируется — ответственность на пользователе</t>
  </si>
  <si>
    <t>Справочники:
• Справочник стандартных формулировок договора
• Справочник операций (для анализа существующих операций и качества)
• Справочник ролей (Заказчик/Подрядчик)
Системные данные:
• Поле «Источник_материалов» = Заказчик/Подрядчик (из п. 1.4)
• Поле «Сроки_скрытых_операций» = даты из Приложения №3
• Таблица «Предложенные_операции_Подрядчика»
• Флаг «Конфликт_материалов» = да/нет
• Флаг «Конфликт_скрытых_работ» = да/нет</t>
  </si>
  <si>
    <t>Алгоритм генерации п. 3.2:
ЕСЛИ Источник_материалов = "Подрядчик":
Активировать_обязанности(3.2.4_полные)
ИНАЧЕ:
Активировать_обязанности(3.2.4_применение_и_ответственность)
Для_пунктов(3.2.17):
Сроки = Дата_начала_последующих_работ_в_ГПР
Алгоритм генерации операций:
ДЛЯ КАЖДОГО подпункта п. 3.2:
ЕСЛИ подпункт требует выполнения И операция_отсутствует_в_КП:
Создать_предложение_операции()
Определить_место_размещения(предыдущая_операция, следующая_операция)
Добавить_в_Таблицу_предложений()
При_нажатии_[+Операцию]:
Добавить_операцию_в_КП(место_размещения)
Обновить_ГПР()
Назначить_роль("Подрядчик")
Настроить_контроль_выполнения()
При_редактировании:
Запросить("Укажите причину изменения")
Проверить_конфликты()
ЕСЛИ Конфликт = да:
Показать_предупреждение("Возможное несоответствие с другими разделами")</t>
  </si>
  <si>
    <t>• Адаптация под п. 1.4 — ключевой механизм: если материалы предоставляет Заказчик, Подрядчик несёт ответственность только за применение и сохранность
• Генерация операций — трансформация текстовых обязанностей в контролируемые действия в КП/ГПР
• Таблица предложений — прозрачный интерфейс для подтверждения новых операций
• Внутренний контроль — система автоматически отслеживает выполнение операций Подрядчиком (сроки, качество, безопасность)
• Ручное редактирование разрешено, но система предупреждает о конфликтах (баланс между гибкостью и контролем)
• Все операции Подрядчика входят в общую последовательность работ и влияют на расчёт сроков и стоимости</t>
  </si>
  <si>
    <t>п. 4 Сроки и порядок выполнения работ
Прогресс-бар:
☐ 4.1 / 4.1.1 Уполномоченные представители ⏳
☐ 4.2–4.9 Сроки и порядок выполнения работ</t>
  </si>
  <si>
    <t>Форма «4.1 / 4.1.1 Уполномоченные представители»
Поля для ручного заполнения:
• 4.1 а) Заказчик:
— Должность: [Генеральный директор]
— ФИО: [Жуланов Константин Михайлович]
— Телефон: [+7 (901) 779-88-29]
— Мессенджер: [МАКС]
• 4.1 б) Подрядчик:
— Должность: [Руководитель проекта]
— ФИО: [Кислухин Ян Николаевич]
— Телефон: [+7 (910) 125-45-13]
— Мессенджер: [МАКС]
• 4.1.1 а) Заказчик (на Объекте):
— Должность: [Начальник монтажного участка]
— ФИО: [Александрович Андрей Анатольевич]
— Телефон: [+7 (913) 281-16-66]
— Мессенджер: [МАКС]
• 4.1.1 б) Подрядчик (на Объекте):
— Должность: [Бригадир]
— ФИО: [Фамилия Имя Отчество]
— Телефон: [+7 (XXX) XXX-XX-XX]
— Мессенджер: [Выбрать из списка]
Валидация формата:
• Телефон — маска +7 (XXX) XXX-XX-XX
• Мессенджер — выпадающий список {МАКС, WhatsApp, Telegram, Viber}
• ФИО — обязательное поле</t>
  </si>
  <si>
    <t>Предпросмотр п. 4.1 / 4.1.1 в договоре:
«4.1. Представители Сторон
Для оперативного решения текущих вопросов, связанных с исполнением Договора, Стороны назначают следующих уполномоченных представителей:
а) со стороны Заказчика:
 • Генеральный директор — Жуланов Константин Михайлович, тел. +7 (901) 779-88-29; мессенджер МАКС
б) со стороны Подрядчика:
 • Руководитель проекта — Кислухин Ян Николаевич, тел. +7 (910) 125-45-13; мессенджер МАКС
4.1.1. Для фиксации фактических событий на Объекте... Стороны назначают ответственных лиц непосредственно на Объекте:
а) со стороны Заказчика — Начальник монтажного участка — Александрович Андрей Анатольевич, тел. +7 (913) 281-16-66; мессенджер МАКС
б) со стороны Подрядчика — Бригадир — [Фамилия Имя Отчество], тел. +7 (XXX) XXX-XX-XX; мессенджер [Выбран]»</t>
  </si>
  <si>
    <t>1. Заполнить все поля для представителей
2. Проверить корректность формата телефона и выбора мессенджера
3. Нажать кнопку [Подтвердить представителей]</t>
  </si>
  <si>
    <t>1. Система фиксирует контакты во внутреннем приложении
2. Прогресс-бар обновляется:
• ☑ 4.1 / 4.1.1 Уполномоченные представители ✅
• ☐ 4.2–4.9 Сроки и порядок выполнения работ ⏳
3. Система проверяет обязательные поля:
• Если поле ФИО пустое → блокировка подтверждения
• Если телефон не соответствует маске → предупреждение</t>
  </si>
  <si>
    <t>Справочники:
• Справочник мессенджеров — {МАКС, WhatsApp, Telegram, Viber}
• Справочник стандартных должностей — для подсказок
Системные данные:
• Поле «Представитель_Заказчика_основной»
• Поле «Представитель_Подрядчика_основной»
• Поле «Представитель_Заказчика_объект»
• Поле «Представитель_Подрядчика_объект»
• Флаг «Валидация_телефона» = да/нет</t>
  </si>
  <si>
    <t>Алгоритм валидации:
ЕСЛИ Поле_ФИО = пусто:
Блокировать_подтверждение = да
ЕСЛИ Телефон ≠ маске "+7 (XXX) XXX-XX-XX":
Показать_предупреждение("Неверный формат телефона")
ЕСЛИ Мессенджер = не выбран:
Показать_предупреждение("Выберите мессенджер")
Алгоритм генерации текста:
Текст_4.1 = "а) со стороны Заказчика:\n• " + Должность + " — " + ФИО + ", тел. " + Телефон + "; мессенджер " + Мессенджер</t>
  </si>
  <si>
    <t>• Контакты критически важны для работы системы уведомлений (мессенджер/почта)
• Формат телефона стандартизирован для корректной отправки SMS/звонков
• Мессенджер выбирается из списка для интеграции с системой оповещений
• Два уровня представителей:
— Основные (4.1) — для стратегических решений
— На Объекте (4.1.1) — для оперативной фиксации событий
• Все указанные лица автоматически получают доступ к соответствующим разделам в системе</t>
  </si>
  <si>
    <t>п. 4 Сроки и порядок выполнения работ
Прогресс-бар:
☑ 4.1 / 4.1.1 Уполномоченные представители ✅
☐ 4.2–4.9 Сроки и порядок выполнения работ ⏳</t>
  </si>
  <si>
    <t>Форма «4.2–4.9 Сроки и порядок выполнения работ»
Автоматически сгенерированные пункты:
• 4.2 Передача захваток — ссылка на Приложение №4 и Приложение №3
• 4.3 Поэтапная сдача — ссылка на Приложение №1 и Приложение №3
• 4.4 Скрытые работы — ссылка на Приложение №2
• 4.5 Комиссионная приёмка — опционально (активируется при указании комиссии)
• 4.6 Документы по этапу — фиксированный перечень
• 4.7–4.9 Сроки, риски, односторонние акты — ссылки на п. 2.2, п. 3.2.5, п. 3.2.16.1
Генерация операций для контроля:
• Система анализирует КП на наличие операций, соответствующих подпунктам 4.2, 4.4, 4.6
• Для отсутствующих операций формируется Таблица предложений:
Таблица предложений операций:
| № | Название операции | Место размещения | Роль | Действие |
|---|------------------|------------------|------|----------|
| 1 | Передача захватки по Акту (Заказчик) | Между «Организация складских помещений» и «Начало монтажа каркасов» | Заказчик | [+Операцию] |
| 2 | Сдача скрытых работ (Подрядчик) | Перед началом последующих видов работ | Подрядчик | [+Операцию] |
| 3 | Подготовка документов по этапу (Подрядчик) | После завершения этапа в ГПР | Подрядчик | [+Операцию] |
| 4 | Организация комиссионной приёмки (Заказчик) | Перед приёмкой этапа | Заказчик | [+Операцию] |
Возможность редактирования:
• Каждый пункт имеет кнопку [Редактировать]
• При редактировании требуется указать причину изменения
• Система проверяет конфликты с источниками (ГПР, ТЗ, Смета)</t>
  </si>
  <si>
    <t>Предпросмотр п. 4.2–4.9 в договоре:
«4.2. Передача захваток
Заказчик передаёт очередную зону производства работ («захватку») Подрядчику по Акту приёмки-передачи (Приложение №4 к настоящему Договору). Заказчик обязан направить уведомление представителю Подрядчика не менее чем за [24 часа] с указанием даты, времени и места передачи захватки.
...
4.6. Документы, представляемые Подрядчиком по завершении этапа/работ
По окончании каждого этапа или всех Работ Подрядчик передаёт Заказчику оригиналы следующих документов:
а) Акт о приёмке выполненных работ (форма КС-2) — 2 экз.;
б) Справку о стоимости выполненных работ и затрат (форма КС-3) — 2 экз.;
в) Счёт на оплату — 1 экз.;
г) Счёт-фактуру — 1 экз.;
д) АОСР (при необходимости) — в объёме, установленном законодательством РФ.
...
4.9. Одностороннее оформление актов
В случае отсутствия представителя Подрядчика... Акт, подписанный Заказчиком в одностороннем порядке, имеет полную юридическую силу...»</t>
  </si>
  <si>
    <t>1. Проверить корректность автоматически сгенерированных пунктов
2. Проанализировать Таблицу предложений операций:
• Проверить корректность названий операций
• Проверить правильность места размещения и роли
3. Нажать [+Операцию] напротив каждой необходимой операции
4. При необходимости нажать [Редактировать] и внести правки с указанием причины
5. Нажать кнопку [Подтвердить сроки и порядок выполнения работ]</t>
  </si>
  <si>
    <t>1. Система фиксирует текст п. 4.2–4.9 во внутреннем приложении
2. Для каждой подтверждённой операции:
• Операция добавляется в КП в указанное место
• В ГПР появляется строка с соответствующей ролью
• Настраивается мониторинг выполнения
3. Прогресс-бар обновляется:
• ☑ 4.2–4.9 Сроки и порядок выполнения работ ✅
• ☑ Этап Б4 завершён ✅
4. Система проверяет конфликты:
• Если дата передачи захватки ≠ дате начала этапа в ГПР → предупреждение
• Если перечень скрытых работ ≠ данным из ТЗ → предупреждение
5. Экспорт не блокируется — ответственность на пользователе</t>
  </si>
  <si>
    <t>Справочники:
• Справочник стандартных формулировок договора
• Справочник операций (для анализа существующих операций)
• Справочник ролей (Заказчик/Подрядчик)
• Справочник документов (КС-2, КС-3, СФ, АОСР)
Системные данные:
• Поле «Дата_передачи_захватки» = дата начала этапа в ГПР
• Поле «Перечень_скрытых_работ» = данные из Приложения №2
• Таблица «Предложенные_операции_п.4»
• Флаг «Конфликт_захватки» = да/нет
• Флаг «Конфликт_скрытых_работ» = да/нет</t>
  </si>
  <si>
    <t>Алгоритм генерации п. 4.2–4.9:
Для_пункта(4.2):
Дата_передачи = Дата_начала_этапа_в_ГПР
Для_пункта(4.4):
Перечень_скрытых_работ = Скрытые_работы_из_ТЗ
Для_пункта(4.6):
Документы = {КС-2, КС-3, Счёт, СФ, АОСР}
Алгоритм генерации операций:
ДЛЯ КАЖДОГО подпункта(4.2, 4.4, 4.6, 4.5):
ЕСЛИ подпункт требует выполнения И операция_отсутствует_в_КП:
Создать_предложение_операции()
Определить_место_размещения(предыдущая_операция, следующая_операция)
Определить_роль(Заказчик/Подрядчик)
Добавить_в_Таблицу_предложений()
При_нажатии_[+Операцию]:
Добавить_операцию_в_КП(место_размещения)
Обновить_ГПР()
Назначить_роль()
Настроить_мониторинг()
При_редактировании:
Запросить("Укажите причину изменения")
Проверить_конфликты()
ЕСЛИ Конфликт = да:
Показать_предупреждение("Возможное несоответствие с другими разделами")</t>
  </si>
  <si>
    <t>• Интеграция с ГПР — дата передачи захватки строго привязана к дате начала этапа в ГПР
• Генерация операций — трансформация текстовых обязательств в контролируемые действия:
— «Передача захватки» → операция Заказчика
— «Сдача скрытых работ» → операция Подрядчика
— «Подготовка документов» → операция Подрядчика
• Таблица предложений — прозрачный интерфейс для подтверждения новых операций
• Мониторинг выполнения — система автоматически отслеживает:
— Своевременность передачи захваток
— Корректность сдачи скрытых работ
— Полный комплект документов по этапу
• Юридические защиты (4.7, 4.9) — автоматически ссылаются на ранее согласованные пункты, обеспечивая целостность договора</t>
  </si>
  <si>
    <t>п. 5 Ответственность сторон
Прогресс-бар:
☐ 5.1–5.3 Условия начала и ответственность ⏳</t>
  </si>
  <si>
    <t>Форма «5.1–5.3 Условия начала и ответственность»
Автоматически сгенерированные пункты:
• 5.1 Общий срок выполнения — ссылка на Приложение №3 (ГПР)
• 5.2 Условия начала и окончания работ — адаптировано под:
— Материалы: из п. 1.4
— Захватки: из Приложения №4
— Документация: из п. 1.3
• 5.3 Ответственность за соблюдение сроков — ссылка на п. 2.7, п. 2.9
Генерация операций для условий начала:
• Система анализирует КП на наличие операций, соответствующих условиям п. 5.2
• Для отсутствующих операций формируется Таблица предложений:
Таблица предложений операций:
| № | Название операции | Место размещения | Роль | Действие |
|---|------------------|------------------|------|----------|
| 1 | Обеспечение материалов на Объекте (Заказчик) | Между «Передача документации» и «Передача захватки» | Заказчик | [+Операцию] |
| 2 | Передача захватки по Акту (Заказчик) | Между «Обеспечение материалов» и «Начало монтажа» | Заказчик | [+Операцию] |
| 3 | Передача проектной документации (Заказчик) | В начале проекта | Заказчик | [+Операцию] |
Адаптация под п. 1.4:
• Если материалы предоставляет Подрядчик, операция «Обеспечение материалов» не генерируется
Возможность редактирования:
• Каждый пункт имеет кнопку [Редактировать]
• При редактировании требуется указать причину изменения
• Система проверяет конфликты с источниками (ГПР, п. 1.4, п. 1.3)</t>
  </si>
  <si>
    <t>Предпросмотр п. 5.1–5.3 в договоре:
«5.1. Общий срок выполнения
Подрядчик обязуется выполнить Работы в срок [________] (прописью) календарных дней, если иное не установлено Графиком производства работ (Приложение №3).
5.2. Условия начала и окончания работ
Начало и окончание выполнения Работ на Объекте осуществляются в соответствии с утверждённым Графиком производства работ (Приложение №3) при обязательном соблюдении следующих условий:
а) наличие всех необходимых для выполнения Работ материалов, конструкций и оборудования на Объекте;
б) передача Заказчиком зоны производства работ («захватки») по Акту приёмки-передачи (Приложение №4);
в) предоставление Заказчиком полного комплекта согласованной проектной документации и Технического задания (Приложение №2).
Согласованные даты передачи Заказчиком строительной готовности, даты сдачи Подрядчиком выполненных работ и даты оплаты Заказчиком принятых работ отражаются в Графике производства работ (Приложение №3) и являются обязательными для Сторон.
5.3. Ответственность за соблюдение сроков
В случае невыполнения Заказчиком условий, указанных в п. 5.2, сроки выполнения Работ продлеваются автоматически на количество календарных дней, в течение которых такие условия не были обеспечены.
Подрядчик не несёт ответственности за задержку выполнения Работ, вызванную нарушением Заказчиком своих обязательств.»</t>
  </si>
  <si>
    <t>1. Проверить корректность автоматически сгенерированных пунктов
2. Убедиться, что операция «Обеспечение материалов» скрыта, если материалы предоставляет Подрядчик
3. Проанализировать Таблицу предложений операций:
• Проверить корректность названий операций
• Проверить правильность места размещения и роли
4. Нажать [+Операцию] напротив каждой необходимой операции
5. При необходимости нажать [Редактировать] и внести правки с указанием причины
6. Нажать кнопку [Подтвердить условия начала и ответственность]</t>
  </si>
  <si>
    <t>1. Система фиксирует текст п. 5.1–5.3 во внутреннем приложении
2. Для каждой подтверждённой операции:
• Операция добавляется в КП в указанное место
• В ГПР появляется строка с ролью «Заказчик»
• Настраивается мониторинг выполнения
3. Прогресс-бар обновляется:
• ☑ 5.1–5.3 Условия начала и ответственность ✅
• ☑ Этап Б5 завершён ✅
4. Система проверяет конфликты:
• Если материалы = Подрядчик, но операция «Обеспечение материалов» присутствует → предупреждение
• Если дата передачи захватки ≠ дате в ГПР → предупреждение
5. Экспорт не блокируется — ответственность на пользователе</t>
  </si>
  <si>
    <t>Справочники:
• Справочник стандартных формулировок договора
• Справочник операций (для анализа существующих операций)
• Справочник ролей (Заказчик/Подрядчик)
Системные данные:
• Поле «Источник_материалов» = Заказчик/Подрядчик (из п. 1.4)
• Поле «Дата_передачи_захватки» = дата из Приложения №4
• Поле «Дата_передачи_документации» = дата из п. 1.3
• Таблица «Предложенные_операции_п.5»
• Флаг «Конфликт_материалов» = да/нет
• Флаг «Конфликт_захваток» = да/нет</t>
  </si>
  <si>
    <t>Алгоритм генерации п. 5.1–5.3 (КД):
─────────────────────────────────────────
Для_пункта(5.1):
    Срок = Дата_окончания_в_ГПР − Дата_начала_в_ГПР
Для_пункта(5.2):
    ЕСЛИ Источник_материалов = "Заказчик":
        Условие_а = "наличие всех необходимых... материалов..."
    ИНАЧЕ:
        Условие_а = "" (скрыто)
Алгоритм генерации операций (КД → КП):
─────────────────────────────────────────
ДЛЯ КАЖДОГО условия в п. 5.2:
    ЕСЛИ условие требует выполнения И операция_отсутствует_в_КП:
        Создать_предложение_операции()
        Определить_место_размещения()
        Назначить_роль("Заказчик")
        Добавить_в_Таблицу_предложений()
При_нажатии_[+Операцию]:
    Добавить_операцию_в_КП()
    Обновить_ГПР()
    Настроить_мониторинг()
При_редактировании:
    Запросить("Укажите причину изменения")
    Проверить_конфликты()
    ЕСЛИ Конфликт = да:
        Показать_предупреждение("Возможное несоответствие с другими разделами")
Алгоритм ограничения старта операций (СП, Корр. №8):
─────────────────────────────────────────
Время_назначения_операции = Время_старта_операции − 60 минут
ЕСЛИ (Текущее_время &lt; Время_назначения_операции):
    ТО Статус_операции = "Заблокировано (слишком рано)"
ИНАЧЕ ЕСЛИ (Текущее_время ≥ Время_назначения_операции):
    ТО Статус_операции = "Готово к назначению"
Примечание:
• Алгоритм генерации (КД) — формирует текст договора и операции Заказчика
• Алгоритм ограничения (СП) — исполняется в Стратегическом Планировщике после кнопки «Запуск проекта»
• Оба алгоритма ссылаются на п. 5.2 договора (условия начала работ)</t>
  </si>
  <si>
    <t>• Автоматическое продление сроков (п. 5.3) — ключевой механизм защиты Подрядчика от рисков, связанных с невыполнением обязательств Заказчиком
• Адаптация под п. 1.4 — если материалы предоставляет Подрядчик, условие 5.2а и соответствующая операция исключаются
• Генерация операций — трансформация условий начала работ в контролируемые действия Заказчика
• Мониторинг выполнения — система автоматически отслеживает:
— Своевременность передачи материалов
— Корректность передачи захваток
— Наличие проектной документации
• Все операции встраиваются в последовательность работ в КП и влияют на расчёт общего срока проекта</t>
  </si>
  <si>
    <t>Приложение №2 — Техническое задание
Прогресс-бар:
☐ Автоматическая подгрузка данных ⏳</t>
  </si>
  <si>
    <t>Форма «Источники данных для Приложения №2»
Автоматически определённые источники:
• ☑ Смета (Приложение №1) — для колонки «Вид работ»
• ☑ Справочник операций — для колонок «Операции», «Описание», «Критерии приёмки»
• ☑ Конструктор проектов (КП) — для привязки операций к конструкциям/изделиям и захваткам</t>
  </si>
  <si>
    <t>Таблица Приложения №2 (предпросмотр):
№ | Вид работ | Операция | Описание | Допуски/отклонения | Этап ГПР
1 | Монтаж каркасов... | Сборка каркасов | Краткое описание из Справочника | Отклонение по вертикали ≤2мм | Этап 1</t>
  </si>
  <si>
    <t>1. Проверить корректность автоматического определения источников данных
2. Убедиться, что статус проекта в КП = «Готов к договору»
3. Нажать кнопку [Загрузить данные из КП]</t>
  </si>
  <si>
    <t>1. Система загружает структуру проекта из КП:
• Список видов работ из Сметы
• Назначенные операции этапов 10–50 из Справочника операций
• Привязку операций к конструкциям/изделиям/захваткам
2. Прогресс-бар обновляется:
• ☑ Автоматическая подгрузка данных ✅
• ☐ Формирование таблицы ТЗ ⏳
3. Статус таблицы: «Черновик — редактирование разрешено»</t>
  </si>
  <si>
    <t>Справочники:
• Справочник операций — содержит для каждой операции:
— Наименование, описание, этап проекта (10–50)
— Критерии приёмки качества
— Требования к квалификации исполнителя
— Ссылку на видеоинструкцию
• Смета (Приложение №1) — виды работ и объёмы
Системные данные:
• Поле «Статус_проекта_КП» = «Готов к договору»
• Поле «Версия_ТЗ» = «Черновик»
• Флаг «Редактирование_разрешено» = да</t>
  </si>
  <si>
    <t>Алгоритм подгрузки данных:
ЕСЛИ Статус_проекта_КП = "Готов к договору"
ТО Загрузить_данные_ТЗ(
 Виды_работ ← Смета.Виды_работ,
 Операции ← КП.Назначенные_операции,
 Описание ← Справочник_операций.Описание,
 Критерии ← Справочник_операций.Критерии_приёмки,
 Этап_ГПР ← КП.Привязка_к_ГПР
 )
ИНАЧЕ Блокировать_загрузку + Подсказка("Проект не готов к формированию ТЗ")</t>
  </si>
  <si>
    <t>• Подгрузка возможна ТОЛЬКО при статусе проекта «Готов к договору» в КП — это гарантирует полноту данных
• Все описания и критерии качества берутся напрямую из Справочника операций без возможности редактирования — это обеспечивает единообразие и соответствие нормативам качества Орбиты
• Версия «Черновик» позволяет редактировать состав операций до согласования с Заказчиком</t>
  </si>
  <si>
    <t>Приложение №2 — Техническое задание
Прогресс-бар:
☑ Автоматическая подгрузка данных ✅
☐ Формирование таблицы ТЗ ⏳</t>
  </si>
  <si>
    <t>Форма редактирования состава операций:
Доступные действия:
• [+Добавить операцию] — выбор из Справочника операций по фильтру «Вид работ»
• [−Удалить операцию] — удаление нерелевантной операции (галочка в строке → кнопка «Удалить»)
• [Сбросить изменения] — возврат к исходной версии из КП
Ограничения редактирования:
• ❌ Нельзя редактировать колонки «Описание» и «Допуски/отклонения»
• ✅ Можно редактировать только состав операций (добавление/удаление)</t>
  </si>
  <si>
    <t>Таблица Приложения №2 (режим редактирования):
№ | Вид работ | Операция | Описание (серый фон) | Допуски/отклонения (серый фон) | Этап ГПР | Действие
1 | Монтаж каркасов... | Сборка каркасов | ... | Отклонение ≤2мм | Этап 1 | [−]
2 | Монтаж каркасов... | Разноска по проёмам | ... | Горизонтальность ±1мм | Этап 1 | [−]
... | ... | ... | ... | ... | ... | ...
[+Добавить операцию] | | | | | |</t>
  </si>
  <si>
    <t>1. Проанализировать загруженный список операций:
• Выявить отсутствующие критически важные операции (например, контроль геометрии)
• Выявить нерелевантные операции (например, операции для другого типа конструкций)
2. При необходимости:
• Нажать [+Добавить операцию] → выбрать из Справочника → указать этап ГПР
• Отметить галочкой нерелевантную операцию → нажать [−Удалить]
3. Нажать [Подтвердить состав операций]</t>
  </si>
  <si>
    <t>1. Система сохраняет изменения в версию «Черновик»:
• Добавленные операции получают статус «Добавлена в ТЗ»
• Удалённые операции получают статус «Исключена из ТЗ (до согласования)»
2. Прогресс-бар обновляется:
• ☑ Формирование таблицы ТЗ ✅
• ☐ Согласование с Заказчиком ⏳
3. Система фиксирует:
• Дата/время изменения состава операций
• Причина изменения (обязательное поле при удалении/добавлении)
• Версия ТЗ = «Черновик_v2»</t>
  </si>
  <si>
    <t>Справочники:
• Справочник операций — источник для добавления операций
• Справочник этапов ГПР — для привязки операции к этапу сдачи работ
Системные данные:
• Поле «Статус_операции» = {Из_КП, Добавлена_в_ТЗ, Исключена_из_ТЗ}
• Поле «Причина_изменения» — текстовое поле (обязательное)
• Флаг «Редактирование_описания_заблокировано» = да
• Флаг «Редактирование_критериев_заблокировано» = да</t>
  </si>
  <si>
    <t>Алгоритм валидации изменений:
ЕСЛИ Операция.Статус = "Исключена_из_ТЗ" И Операция.Флаг_ключевая = да
ТО Предупреждение("Операция помечена как ключевая в Справочнике. Удаление возможно только с подтверждением Руководителя проекта")
 Запросить_подтверждение_РП()
ЕСЛИ Операция.Добавлена И Операция.Не_принадлежит_виду_работ
ТО Предупреждение("Операция не соответствует виду работ. Проверьте корректность назначения")
Правило блокировки редактирования:
ЕСЛИ Колонка ∈ {"Описание", "Допуски/отклонения"}
ТО Режим_редактирования = "только_просмотр", Фон = серый</t>
  </si>
  <si>
    <t>Инженер ПТО
(при удалении ключевых операций — требуется подтверждение Руководителя проекта)</t>
  </si>
  <si>
    <t>• Ключевой принцип: состав операций может редактироваться, но содержание каждой операции (описание, критерии качества) — фиксировано из Справочника операций
• Удаление ключевых операций (флаг ⚠️ в Справочнике) требует подтверждения РП — это защита от снижения качества работ
• Все изменения фиксируются в аудите с указанием причины — это обеспечивает прозрачность при возможных спорах с Заказчиком</t>
  </si>
  <si>
    <t>Приложение №2 — Техническое задание
Прогресс-бар:
☑ Автоматическая подгрузка данных ✅
☑ Формирование таблицы ТЗ ✅
☐ Согласование с Заказчиком ⏳</t>
  </si>
  <si>
    <t>Форма отправки на согласование:
Предпросмотр финальной версии ТЗ:
• Таблица в формате, готовом к экспорту в PDF
• Индикатор статуса: «Черновик — ожидает согласования»
• Кнопка [Отправить Заказчику на согласование]
Дополнительные опции:
• [Скачать черновик в Excel] — для внутреннего согласования с РП
• [Показать изменения] — сравнение с исходной версией из КП</t>
  </si>
  <si>
    <t>Предпросмотр финальной таблицы ТЗ:
Приложение №2 к Договору № ___
ТЕХНИЧЕСКОЕ ЗАДАНИЕ
№ | Вид работ | Операция | Описание | Допуски и отклонения | Этап ГПР
1 | Монтаж каркасов... | Сборка каркасов | Сборка каркаса из профилей... | Отклонение по вертикали ≤2мм | Этап 1
2 | Монтаж каркасов... | Разноска по проёмам | Перемещение собранных каркасов... | Горизонтальность ±1мм | Этап 1
... | ... | ... | ... | ... | ...
ИТОГО: 15 операций по 5 видам работ</t>
  </si>
  <si>
    <t>1. Провести финальную проверку:
• Соответствие состава операций объёму работ в Смете
• Наличие всех ключевых операций (флаг ⚠️)
• Корректность привязки к этапам ГПР
2. При необходимости — внутреннее согласование с РП через [Скачать черновик в Excel]
3. Нажать [Отправить Заказчику на согласование]</t>
  </si>
  <si>
    <t>1. Система:
• Фиксирует версию ТЗ = «На согласовании»
• Отправляет уведомление Заказчику через мессенджер МАКС:
«Техническое задание (Приложение №2) готово к согласованию. Срок ответа — 3 раб. дня (п. 4.7 договора)»
• Блокирует дальнейшее редактирование состава операций до получения ответа Заказчика
2. Прогресс-бар обновляется:
• ☑ Согласование с Заказчиком ✅
• ☐ Фиксация и экспорт ⏳
3. Статус таблицы: «На согласовании — редактирование заблокировано»</t>
  </si>
  <si>
    <t>Справочники:
• Справочник этапов согласования — статусы: {Черновик, На согласовании, Согласовано, Отклонено}
Системные данные:
• Поле «Дата_отправки_на_согласование» = текущая дата
• Поле «Срок_ответа_Заказчика» = 3 раб. дня (из п. 4.7 договора)
• Флаг «Редактирование_заблокировано» = да (после отправки)
• Флаг «Версия_зафиксирована» = нет</t>
  </si>
  <si>
    <t>Алгоритм управления версиями:
При_отправке_на_согласование:
 Версия_ТЗ = "На согласовании"
 Редактирование_разрешено = нет
 Запустить_таймер(Срок_ответа_Заказчика)
При_получении_ответа_Заказчика:
 ЕСЛИ Ответ = "Согласовано"
 ТО Версия_ТЗ = "Согласовано", Фиксация_версии()
 ИНАЧЕ ЕСЛИ Ответ = "Отклонено с замечаниями"
 ТО Версия_ТЗ = "Черновик", Редактирование_разрешено = да, Отобразить_замечания()
Алгоритм фиксации версии:
Фиксация_версии():
 Создать_снимок_ТЗ(Дата, Состав_операций, Источник_данных)
 Сохранить_во_внутреннем_приложении()
 Флаг_Версия_зафиксирована = да</t>
  </si>
  <si>
    <t>• После отправки на согласование редактирование БЛОКИРУЕТСЯ — это исключает несанкционированные изменения после передачи Заказчику
• При отклонении с замечаниями система возвращает статус «Черновик» с сохранением истории изменений — это позволяет отследить все итерации согласования
• Фиксация версии происходит ТОЛЬКО после согласования Заказчиком — до этого момента версия остаётся «плавающей»</t>
  </si>
  <si>
    <t>Приложение №2 — Техническое задание
Прогресс-бар:
☑ Автоматическая подгрузка данных ✅
☑ Формирование таблицы ТЗ ✅
☑ Согласование с Заказчиком ✅
☐ Фиксация и экспорт ⏳</t>
  </si>
  <si>
    <t>Форма финальной фиксации:
Статус согласования:
• ✅ Заказчик согласовал ТЗ (дата: 06.02.2026)
• Комментарии Заказчика: отсутствуют / [просмотреть]
Действия:
• [Зафиксировать версию ТЗ]
• [Экспортировать в договор (PDF)]
• [Просмотреть внутреннее приложение с аудитом изменений]</t>
  </si>
  <si>
    <t>Предпросмотр экспортируемой таблицы:
Приложение №2 к Договору № 06.02.2026/147
ТЕХНИЧЕСКОЕ ЗАДАНИЕ
№ | Наименование вида работ | Наименование операции | Краткое описание операции | Допуски и отклонения по качеству | Этап ГПР (Приложение №3)
1 | Монтаж каркасов... | Сборка каркасов | Сборка каркаса из профилей... | Отклонение по вертикали не более 2 мм | Этап 1
2 | Монтаж каркасов... | Разноска по проёмам | Перемещение собранных каркасов... | Горизонтальность ±1 мм | Этап 1
... | ... | ... | ... | ... | ...
Примечание: Все операции выполняются в соответствии с видеоинструкциями, размещёнными в облаке (ссылки доступны в Личном кабинете Исполнителя).</t>
  </si>
  <si>
    <t>1. Проверить отсутствие непринятых замечаний Заказчика
2. Нажать [Зафиксировать версию ТЗ]
3. Нажать [Экспортировать в договор (PDF)]</t>
  </si>
  <si>
    <t>1. Система:
• Создаёт неизменяемый снимок версии ТЗ с привязкой к договору
• Генерирует PDF в соответствии с шаблоном оформления:
— Заголовок «Приложение №2 к Договору № ___»
— Таблица с 5 колонками (без колонки «Действие»)
— Автоматическая нумерация страниц и колонтитулы
• Сохраняет полную историю изменений во внутреннем приложении:
— Исходная версия из КП
— Все добавленные/удалённые операции с причинами
— Дата/время согласования Заказчиком
2. Прогресс-бар обновляется:
• ☑ Фиксация и экспорт ✅
• ☑ Этап Б7 завершён ✅
3. Статус таблицы: «Зафиксировано — редактирование невозможно»</t>
  </si>
  <si>
    <t>Справочники:
• Шаблон оформления приложений — форматирование таблицы, шрифты, колонтитулы
• Справочник операций — для генерации ссылок на видеоинструкции в примечании
Системные данные:
• Поле «Версия_ТЗ_зафиксирована» = да
• Поле «Дата_фиксации» = дата согласования + время подтверждения РП
• Поле «История_изменений_ТЗ» — полная аудиторская цепочка:
— v1.0: исходная из КП (05.02.2026 14:30)
— v1.1: добавлена операция «Контроль геометрии» (05.02.2026 15:20, причина: «Требование Заказчика»)
— v2.0: согласовано Заказчиком (06.02.2026 10:15)</t>
  </si>
  <si>
    <t>Алгоритм фиксации:
Фиксация_версии_ТЗ():
 ЕСЛИ Статус_согласования ≠ "Согласовано"
 ТО Ошибка("Невозможно зафиксировать несогласованную версию")
 ИНАЧЕ:
 Создать_снимок(
 Договор.Номер,
 ТЗ.Состав_операций,
 ТЗ.Источник_данных = "Справочник операций + КП",
 ТЗ.История_изменений,
 Дата_фиксации = Текущая_дата_время,
 Подпись_РП = Обязательно()
 )
 Редактирование_разрешено = нет_навсегда()
Алгоритм экспорта в PDF:
Экспорт_ТЗ_в_PDF():
 Применить_шаблон_оформления()
 Скрыть_служебные_колонки("Действие", "Статус")
 Добавить_колонтитул("Приложение №2 к Договору № " + Номер_договора)
 Сгенерировать_PDF()
 Привязать_к_договору()</t>
  </si>
  <si>
    <t>Руководитель проекта
(обязательная подпись при фиксации)</t>
  </si>
  <si>
    <t>🔒 ФИКСАЦИЯ ВЕРСИИ :
Справочник операций блокируется на обновление на 4 проекта ИЛИ 90 дней (КЭ.Э12)
КП использует Справочник операций (зафиксированный КЭ) для операций и нормативов
Изменение Справочника операций до завершения 4 проектов/90 дней требует допсоглашения со всеми проектами направления
После 4 проектов ИЛИ 90 дней система предлагает РН обновить модель КЭ (Э1–Э12) с учётом накопленных данных
Фиксация модели обеспечивает предсказуемость маржи, ФОТ и нормативов на период 4 проектов или 90 дней
📜 ЮРИДИЧЕСКАЯ ЗАЩИТА:
• История изменений сохраняется во внутреннем приложении (не отображается в договоре) 
  — это юридическая защита при спорах о первоначальном объёме работ.
• Экспортируемая таблица НЕ содержит:
  — Колонки «Действие» и «Статус»
  — Служебные пометки вроде «Добавлена в ТЗ»
  — Историю изменений — только финальный согласованный состав операций.
🏛 АРХИТЕКТУРНЫЕ ПРИНЦИПЫ ОРБИТЫ (Корректировка №15):
• Принцип 2 (Цифровые двойники): Описание и критерии качества операций берутся из 
  Справочника операций (структурированные данные) — это основа для цифровых двойников. 
  КП передаёт данные в формате, пригодном для аналитики и машинного обучения.
• Принцип 3 (Бенефициар норматива): ТЗ содержит ссылки на видеоинструкции. 
  Исполнитель, улучшивший норматив ≥7%, становится бенефициаром всех будущих проектов 
  с этой операцией (ПД 2%).
📝 ПРИМЕЧАНИЕ В ТЗ (ОБЯЗАТЕЛЬНОЕ):
«Все операции выполняются в соответствии с видеоинструкциями, размещёнными в облаке 
(ссылки доступны в Личном кабинете Исполнителя).»
🔄 ИНТЕГРАЦИЯ С МОДУЛЯМИ:
• КП → КД: Операции, нормативы, видеоинструкции, физ. ограничения
• КД → СП: ГПР (Контур 1) → после кнопки «Запуск проекта» → СП (Контур 2)
• ТП → СП: Фактическое выполнение → мониторинг М0–М3 → расчёт ПД 2%.</t>
  </si>
  <si>
    <t>Приложение №4 — Форма акта
Прогресс-бар:
☐ Автоматическая подгрузка структуры ⏳</t>
  </si>
  <si>
    <t>Форма «Структура Приложения №4»
Система автоматически формирует шаблон акта на основе:
• Справочника параметров готовности (из Приложения №2)
• Справочника этапов ГПР (связь с Приложением №3)
• Типовых полей захватки (оси, высотные отметки, конструкции)
Структура шаблона:
1. Реквизиты объекта и захватки
2. Таблица параметров готовности
3. Таблица материалов на захватке
4. Раздел замечаний и дефектов
5. Решение комиссии («Готов к работе» / «Требует доработки»)
6. Подписи сторон + мессенджеры</t>
  </si>
  <si>
    <t>Предпросмотр шаблона акта:
Приложение №4 к Договору №
АКТ ПРИЁМКИ-ПЕРЕДАЧИ ЗОНЫ ПРОИЗВОДСТВА РАБОТ («ЗАХВАТКИ»)
[Структура с пустыми полями для заполнения в будущем]
• Объект: []
• Адрес: [___]
• Номер захватки: Захватка № ___
• Оси: от ___ до
• Высотные отметки: от ___ м до ___ м
• Дата передачи: «» ________ 20_ г.
...</t>
  </si>
  <si>
    <t>1. Проверить корректность структуры шаблона
2. Убедиться, что все обязательные разделы присутствуют:
• Параметры готовности (связь с Приложением №2)
• Материалы на захватке
• Замечания и дефекты
• Решение комиссии (статус для Планировщика)
• Подписи + мессенджеры (связь с п. 4.1)
3. Нажать [Подтвердить структуру акта]</t>
  </si>
  <si>
    <t>1. Система фиксирует шаблон акта во внутреннем приложении к договору
2. Прогресс-бар обновляется:
• ☑ Автоматическая подгрузка структуры ✅
• ☐ Согласование формы акта с Заказчиком ⏳
3. Статус формы: «Черновик — ожидает согласования в составе договора»</t>
  </si>
  <si>
    <t>Справочники:
• Справочник параметров готовности (из Приложения №2)
• Справочник этапов ГПР
• Справочник типовых полей захватки
Системные данные:
• Флаг «Структура_акта_сформирована» = да
• Флаг «Форма_акта_согласована» = нет</t>
  </si>
  <si>
    <t>Алгоритм формирования структуры:
Структура_акта = {
 Реквизиты_объекта,
 Параметры_готовности ← Справочник_ТЗ,
 Материалы_на_захватке,
 Замечания_и_дефекты,
 Решение_комиссии,
 Подписи_сторон ← п.4.1_договора,
 Мессенджеры ← п.4.1_договора,
 Триггеры_для_Планировщика ← {«Готов к работе», «Требует доработки»}
}</t>
  </si>
  <si>
    <t>• Форма акта — это ШАБЛОН, который входит в состав договора как Приложение №4
• Согласование формы происходит НЕ отдельно, а в составе всего договора при его подписании Заказчиком
• После подписания договора форма акта фиксируется и становится обязательной для всех будущих актов передачи захваток</t>
  </si>
  <si>
    <t>Приложение №4 — Форма акта
Прогресс-бар:
☑ Автоматическая подгрузка структуры ✅
☐ Согласование формы акта с Заказчиком ⏳</t>
  </si>
  <si>
    <t>Форма «Включение формы акта в договор»
Система:
• Автоматически включает шаблон акта в состав договора как Приложение №4
• Генерирует предпросмотр договора с Приложением №4 в режиме «Предпросмотр перед подписанием»
Действия:
• [Предпросмотр договора с Приложением №4]
• [Экспорт черновика договора в PDF для внутреннего согласования]
• [Отправить договор на подписание Заказчику]</t>
  </si>
  <si>
    <t>Предпросмотр договора:
...
12. Приложения к настоящему Договору
К настоящему Договору прилагаются следующие документы...:
1. Приложение №1 — Смета...
2. Приложение №2 — Техническое задание...
3. Приложение №3 — График производства работ...
4. Приложение №4 — Акт приёмки-передачи зоны производства работ («захватки»)
[Далее следует полный текст шаблона акта]</t>
  </si>
  <si>
    <t>1. Нажать [Предпросмотр договора с Приложением №4]
2. Проверить корректность включения формы акта в договор
3. При необходимости — [Экспорт черновика в PDF] для внутреннего согласования с РП
4. Нажать [Отправить договор на подписание Заказчику]</t>
  </si>
  <si>
    <t>1. Система:
• Отправляет уведомление Заказчику через мессенджер МАКС:
«Договор № ___ готов к подписанию. Срок ответа — 3 раб. дня (п. 4.7 договора)»
• Фиксирует дату отправки для расчёта срока ответа
2. Прогресс-бар обновляется:
• ☑ Согласование формы акта с Заказчиком ✅
• ☐ Подписание договора и фиксация формы акта ⏳
3. Статус договора: «На подписании у Заказчика»</t>
  </si>
  <si>
    <t>Справочники:
• Справочник этапов согласования договора
Системные данные:
• Поле «Дата_отправки_на_подписание»
• Поле «Срок_ответа_Заказчика» = 3 раб. дня (из п. 4.7 договора)
• Флаг «Договор_на_подписании» = да</t>
  </si>
  <si>
    <t>Алгоритм отправки на подписание:
ЕСЛИ Все_приложения_готовы = да И Все_пункты_валидны = да:
 Отправить_уведомление_Заказчику(«Договор готов к подписанию»)
 Флаг_Договор_на_подписании = да
 Запустить_таймер(Срок_ответа_Заказчика)
ИНАЧЕ:
 Подсказка(«Не все разделы договора заполнены»)</t>
  </si>
  <si>
    <t>• Согласование ФОРМЫ акта происходит в составе всего договора — отдельного согласования формы не требуется
• Заказчик согласовывает договор целиком, включая Приложение №4 (форму акта)
• После подписания договора форма акта фиксируется и становится обязательной для всех будущих актов</t>
  </si>
  <si>
    <t>Приложение №4 — Форма акта
Прогресс-бар:
☑ Автоматическая подгрузка структуры ✅
☑ Согласование формы акта с Заказчиком ✅
☐ Подписание договора и фиксация формы акта ⏳</t>
  </si>
  <si>
    <t>Форма «Подписание договора»
Статус согласования:
• ✅ Заказчик подписал договор (дата: ___)
• ✅ Подрядчик подписал договор (дата: ___)
Действия:
• [Зафиксировать форму акта]
• [Экспортировать договор с Приложением №4 в PDF]
• [Передать шаблон акта в Планировщик]</t>
  </si>
  <si>
    <t>Предпросмотр экспортируемого договора:
Приложение №4 к Договору № ___ от «» ________ 20 г.
АКТ ПРИЁМКИ-ПЕРЕДАЧИ ЗОНЫ ПРОИЗВОДСТВА РАБОТ («ЗАХВАТКИ»)
[Полный текст шаблона акта с полями для будущего заполнения]</t>
  </si>
  <si>
    <t>1. Проверить статус подписания обеими сторонами
2. Нажать [Зафиксировать форму акта]
3. Нажать [Экспортировать договор с Приложением №4 в PDF]
4. Нажать [Передать шаблон акта в Планировщик]</t>
  </si>
  <si>
    <t>1. Система:
• Фиксирует форму акта как неизменяемый шаблон во внутреннем приложении к договору
• Генерирует PDF договора с Приложением №4 (для рукописной версии)
• Передаёт шаблон акта в Планировщик → раздел «Шаблоны документов»
• Настраивает триггеры для генерации конкретных актов при наступлении события «передача захватки»
2. Прогресс-бар обновляется:
• ☑ Подписание договора и фиксация формы акта ✅
• ☑ Этап Б4 завершён ✅
3. Статус формы акта: «Зафиксирована — готова к использованию в Планировщике»</t>
  </si>
  <si>
    <t>Справочники:
• Шаблон оформления приложений (форматирование, колонтитулы)
Системные данные:
• Поле «Форма_акта_зафиксирована» = да
• Поле «Дата_фиксации_формы» = дата подписания договора
• Ссылка на шаблон в Планировщике: «Планировщик → Шаблоны → Акт_передачи_захватки_№[номер_договора]»</t>
  </si>
  <si>
    <t>Алгоритм фиксации формы:
Фиксация_формы_акта():
 ЕСЛИ Договор.Статус = "Подписан обеими сторонами":
 Создать_снимок_формы(Шаблон_акта, Дата_фиксации, Версия_договора)
 Сохранить_во_внутреннем_приложении()
 Передать_в_Планировщик(Шаблон_акта, Триггеры)
 Флаг_Форма_акта_зафиксирована = да</t>
  </si>
  <si>
    <t>• Фиксация формы акта — точка невозврата: после подписания договора шаблон не может быть изменён без Допсоглашения
• Экспорт в PDF создаёт рукописную версию договора с Приложением №4 для архива и возможного использования вне системы
• Передача шаблона в Планировщик настраивает автоматическую генерацию КОНКРЕТНЫХ актов при наступлении события «передача захватки»</t>
  </si>
  <si>
    <t>Приложения №4 к Договору подряда</t>
  </si>
  <si>
    <t>АКТ ПРИЁМКИ-ПЕРЕДАЧИ ЗОНЫ ПРОИЗВОДСТВА РАБОТ («ЗАХВАТКИ»)</t>
  </si>
  <si>
    <t>К договору подряда № ________ от «_» _______________ 20 г.</t>
  </si>
  <si>
    <t>между _________________________ (Заказчик) и _________________________ (Подрядчик)</t>
  </si>
  <si>
    <t>Реквизит</t>
  </si>
  <si>
    <t>Значение</t>
  </si>
  <si>
    <t>Объект</t>
  </si>
  <si>
    <t>[Наименование объекта из п. 1.1 договора]</t>
  </si>
  <si>
    <t>Адрес объекта</t>
  </si>
  <si>
    <t>[Полный адрес из п. 1.1 договора]</t>
  </si>
  <si>
    <t>Номер захватки</t>
  </si>
  <si>
    <t>Захватка № ___</t>
  </si>
  <si>
    <t>Конструкции в захватке</t>
  </si>
  <si>
    <t>[Перечень конструкций: К-1, К-2...]</t>
  </si>
  <si>
    <t>Оси захватки</t>
  </si>
  <si>
    <t>От оси ___ до оси ___</t>
  </si>
  <si>
    <t>Высотные отметки</t>
  </si>
  <si>
    <t>От ___ м до ___ м</t>
  </si>
  <si>
    <t>Дата передачи</t>
  </si>
  <si>
    <t>«_» _______________ 20 г.</t>
  </si>
  <si>
    <t>Уведомление направлено</t>
  </si>
  <si>
    <t>☐ Да (дата и время) / ☐ Нет</t>
  </si>
  <si>
    <t>1. Параметры строительной готовности захватки</t>
  </si>
  <si>
    <t>Все параметры берутся напрямую из Технического задания (Приложение №2)</t>
  </si>
  <si>
    <t>Параметр готовности</t>
  </si>
  <si>
    <t>Требование по ТЗ (Приложение №2)</t>
  </si>
  <si>
    <t>Фактическое состояние</t>
  </si>
  <si>
    <t>Соответствует</t>
  </si>
  <si>
    <t>Комментарий</t>
  </si>
  <si>
    <t>Чистота рабочей зоны</t>
  </si>
  <si>
    <t>Отсутствие мусора, посторонних предметов</t>
  </si>
  <si>
    <t>☐ Соответствует / ☐ Не соответствует</t>
  </si>
  <si>
    <t>☐ Да ☐ Нет</t>
  </si>
  <si>
    <t>Освещённость</t>
  </si>
  <si>
    <t>Не менее ___ лк</t>
  </si>
  <si>
    <t>Температурный режим</t>
  </si>
  <si>
    <t>Не ниже +5°С</t>
  </si>
  <si>
    <t>[___] °С</t>
  </si>
  <si>
    <t>Доступность материалов</t>
  </si>
  <si>
    <t>Материалы размещены в согласованных местах (ППР)</t>
  </si>
  <si>
    <t>Складские помещения</t>
  </si>
  <si>
    <t>Охраняемые помещения для инструмента и СИЗ</t>
  </si>
  <si>
    <t>Подъёмные механизмы</t>
  </si>
  <si>
    <t>Манипуляторы/подъёмники на объекте</t>
  </si>
  <si>
    <t>Пропускной режим</t>
  </si>
  <si>
    <t>Выданы пропуска, доступ разрешён</t>
  </si>
  <si>
    <t>Геометрия проёмов</t>
  </si>
  <si>
    <t>Отклонение по вертикали ≤2 мм, горизонтальность ±1 мм</t>
  </si>
  <si>
    <t>2. Наличие материалов на захватке</t>
  </si>
  <si>
    <t>Материал / конструкция</t>
  </si>
  <si>
    <t>Требуемое кол-во</t>
  </si>
  <si>
    <t>Фактическое кол-во</t>
  </si>
  <si>
    <t>Качество</t>
  </si>
  <si>
    <t>Примечание</t>
  </si>
  <si>
    <t>☐ Соответствует ☐ Брак</t>
  </si>
  <si>
    <t>...</t>
  </si>
  <si>
    <t>Переход риска на материалы:</t>
  </si>
  <si>
    <t>☐ Риск случайной гибели/повреждения материалов переходит на Подрядчика с момента подписания настоящего Акта (п. 3.2.5 договора)</t>
  </si>
  <si>
    <t>☐ Риск остаётся на Заказчике до поставки материалов (указать дату поставки: ___)</t>
  </si>
  <si>
    <t>3. Замечания и дефекты</t>
  </si>
  <si>
    <t>Описание замечания</t>
  </si>
  <si>
    <t>Ответственная сторона</t>
  </si>
  <si>
    <t>Срок устранения</t>
  </si>
  <si>
    <t>Статус</t>
  </si>
  <si>
    <t>Дата устранения</t>
  </si>
  <si>
    <t>☐ Заказчик ☐ Подрядчик</t>
  </si>
  <si>
    <t>☐ Устранено ☐ В работе ☐ Не устранено</t>
  </si>
  <si>
    <t>При отсутствии замечаний: «Замечаний нет. Захватка пригодна для начала монтажных работ»</t>
  </si>
  <si>
    <t>4. Решение комиссии</t>
  </si>
  <si>
    <t>☐ Захватка принята. Разрешается приступить к выполнению работ с «_» _______________ 20 г.</t>
  </si>
  <si>
    <t>☐ Захватка не принята. Работы запрещены до устранения замечаний (п. 4.2 договора)</t>
  </si>
  <si>
    <t>Статус для системы Планировщик:</t>
  </si>
  <si>
    <t>☐ Готов к работе → разблокировать операции этапа 40</t>
  </si>
  <si>
    <t>☐ Требует доработки → заблокировать старт работ</t>
  </si>
  <si>
    <t>5. Подписи сторон</t>
  </si>
  <si>
    <t>Сторона</t>
  </si>
  <si>
    <t>Должность</t>
  </si>
  <si>
    <t>ФИО</t>
  </si>
  <si>
    <t>Подпись</t>
  </si>
  <si>
    <t>Дата</t>
  </si>
  <si>
    <t>Мессенджер</t>
  </si>
  <si>
    <t>Заказчик</t>
  </si>
  <si>
    <t>_________________________</t>
  </si>
  <si>
    <t>_______________________________</t>
  </si>
  <si>
    <t>_______________</t>
  </si>
  <si>
    <t>☐ МАКС ☐ WhatsApp ☐ Telegram ☐ Viber</t>
  </si>
  <si>
    <t>Подрядчик</t>
  </si>
  <si>
    <t>_________________________ (Бригадир / Звеньевой)</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</si>
</sst>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р.-419]#,##0.00"/>
  </numFmts>
  <fonts count="26">
    <font>
      <sz val="12.0"/>
      <color theme="1"/>
      <name val="Calibri"/>
      <scheme val="minor"/>
    </font>
    <font>
      <b/>
      <color theme="1"/>
      <name val="Calibri"/>
      <scheme val="minor"/>
    </font>
    <font>
      <sz val="12.0"/>
      <color theme="1"/>
      <name val="Calibri"/>
    </font>
    <font>
      <color theme="1"/>
      <name val="Calibri"/>
      <scheme val="minor"/>
    </font>
    <font>
      <color rgb="FF1D1D1F"/>
      <name val="System-ui"/>
    </font>
    <font>
      <sz val="16.0"/>
      <color theme="1"/>
      <name val="Calibri"/>
      <scheme val="minor"/>
    </font>
    <font>
      <sz val="15.0"/>
      <color theme="1"/>
      <name val="Calibri"/>
      <scheme val="minor"/>
    </font>
    <font>
      <sz val="18.0"/>
      <color theme="1"/>
      <name val="Calibri"/>
      <scheme val="minor"/>
    </font>
    <font>
      <b/>
      <color rgb="FF1D1D1F"/>
      <name val="System-ui"/>
    </font>
    <font>
      <color rgb="FF1D1D1F"/>
      <name val="Arial"/>
    </font>
    <font>
      <color theme="1"/>
      <name val="Arial"/>
    </font>
    <font>
      <color rgb="FFFF0000"/>
      <name val="Calibri"/>
      <scheme val="minor"/>
    </font>
    <font>
      <color rgb="FFFF0000"/>
      <name val="Arial"/>
    </font>
    <font>
      <sz val="10.0"/>
      <color theme="1"/>
      <name val="Arial"/>
    </font>
    <font>
      <sz val="8.0"/>
      <color theme="1"/>
      <name val="Arial"/>
    </font>
    <font>
      <b/>
      <color theme="1"/>
      <name val="Arial"/>
    </font>
    <font/>
    <font>
      <b/>
      <color theme="1"/>
      <name val="Calibri"/>
    </font>
    <font>
      <b/>
      <sz val="12.0"/>
      <color theme="1"/>
      <name val="Calibri"/>
    </font>
    <font>
      <sz val="9.0"/>
      <color rgb="FF212529"/>
      <name val="Arial"/>
    </font>
    <font>
      <color theme="1"/>
      <name val="Calibri"/>
    </font>
    <font>
      <sz val="11.0"/>
      <color theme="1"/>
      <name val="Calibri"/>
    </font>
    <font>
      <sz val="9.0"/>
      <color rgb="FF212529"/>
      <name val="-apple-system"/>
    </font>
    <font>
      <sz val="12.0"/>
      <color rgb="FF1D1D1F"/>
      <name val="System-ui"/>
    </font>
    <font>
      <b/>
      <color theme="1"/>
      <name val="System-ui"/>
    </font>
    <font>
      <color theme="1"/>
      <name val="System-ui"/>
    </font>
  </fonts>
  <fills count="8">
    <fill>
      <patternFill patternType="none"/>
    </fill>
    <fill>
      <patternFill patternType="lightGray"/>
    </fill>
    <fill>
      <patternFill patternType="solid">
        <fgColor rgb="FFFFFFFF"/>
        <bgColor rgb="FFFFFFFF"/>
      </patternFill>
    </fill>
    <fill>
      <patternFill patternType="solid">
        <fgColor rgb="FFF7F8FC"/>
        <bgColor rgb="FFF7F8FC"/>
      </patternFill>
    </fill>
    <fill>
      <patternFill patternType="solid">
        <fgColor rgb="FFA4C2F4"/>
        <bgColor rgb="FFA4C2F4"/>
      </patternFill>
    </fill>
    <fill>
      <patternFill patternType="solid">
        <fgColor rgb="FFB6D7A8"/>
        <bgColor rgb="FFB6D7A8"/>
      </patternFill>
    </fill>
    <fill>
      <patternFill patternType="solid">
        <fgColor rgb="FFFFF2CC"/>
        <bgColor rgb="FFFFF2CC"/>
      </patternFill>
    </fill>
    <fill>
      <patternFill patternType="solid">
        <fgColor rgb="FFFAFAFA"/>
        <bgColor rgb="FFFAFAFA"/>
      </patternFill>
    </fill>
  </fills>
  <borders count="15">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left style="thin">
        <color rgb="FF000000"/>
      </left>
      <right style="thin">
        <color rgb="FF000000"/>
      </right>
      <top style="thin">
        <color rgb="FF000000"/>
      </top>
      <bottom style="thick">
        <color rgb="FF000000"/>
      </bottom>
    </border>
    <border>
      <bottom style="thick">
        <color rgb="FF000000"/>
      </bottom>
    </border>
    <border>
      <right style="thick">
        <color rgb="FF000000"/>
      </right>
      <bottom style="thick">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DEE2E6"/>
      </left>
      <right style="thin">
        <color rgb="FFDEE2E6"/>
      </right>
      <top style="thin">
        <color rgb="FFDEE2E6"/>
      </top>
      <bottom style="thin">
        <color rgb="FFDEE2E6"/>
      </bottom>
    </border>
    <border>
      <bottom style="thin">
        <color rgb="FFE1E3EA"/>
      </bottom>
    </border>
    <border>
      <right style="thin">
        <color rgb="FFE1E3EA"/>
      </right>
      <bottom style="thin">
        <color rgb="FFE1E3EA"/>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2"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bottom"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bottom" wrapText="1"/>
    </xf>
    <xf borderId="0" fillId="0" fontId="1"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center" readingOrder="0"/>
    </xf>
    <xf borderId="0" fillId="2" fontId="4" numFmtId="0" xfId="0" applyAlignment="1" applyFill="1" applyFont="1">
      <alignment horizontal="center" readingOrder="0"/>
    </xf>
    <xf borderId="0" fillId="0" fontId="3" numFmtId="0" xfId="0" applyAlignment="1" applyFont="1">
      <alignment horizontal="center"/>
    </xf>
    <xf borderId="0" fillId="0" fontId="1" numFmtId="0" xfId="0" applyAlignment="1" applyFont="1">
      <alignment horizontal="center" readingOrder="0" shrinkToFit="0" vertical="center" wrapText="1"/>
    </xf>
    <xf borderId="0" fillId="0" fontId="5" numFmtId="0" xfId="0" applyAlignment="1" applyFont="1">
      <alignment horizontal="center" readingOrder="0" vertical="center"/>
    </xf>
    <xf borderId="0" fillId="2" fontId="4" numFmtId="0" xfId="0" applyAlignment="1" applyFont="1">
      <alignment horizontal="center" readingOrder="0" shrinkToFit="0" wrapText="1"/>
    </xf>
    <xf borderId="0" fillId="0" fontId="1" numFmtId="0" xfId="0" applyAlignment="1" applyFont="1">
      <alignment horizontal="center" shrinkToFit="0" vertical="center" wrapText="1"/>
    </xf>
    <xf borderId="0" fillId="2" fontId="4" numFmtId="0" xfId="0" applyAlignment="1" applyFont="1">
      <alignment horizontal="center" readingOrder="0" shrinkToFit="0" vertical="center" wrapText="1"/>
    </xf>
    <xf borderId="0" fillId="0" fontId="6" numFmtId="0" xfId="0" applyAlignment="1" applyFont="1">
      <alignment horizontal="center" readingOrder="0" vertical="center"/>
    </xf>
    <xf borderId="0" fillId="0" fontId="7" numFmtId="0" xfId="0" applyAlignment="1" applyFont="1">
      <alignment horizontal="center" readingOrder="0" vertical="center"/>
    </xf>
    <xf borderId="0" fillId="0" fontId="3" numFmtId="0" xfId="0" applyAlignment="1" applyFont="1">
      <alignment shrinkToFit="0" wrapText="1"/>
    </xf>
    <xf borderId="0" fillId="2" fontId="4" numFmtId="0" xfId="0" applyAlignment="1" applyFont="1">
      <alignment horizontal="center" readingOrder="0" vertical="center"/>
    </xf>
    <xf borderId="0" fillId="0" fontId="3" numFmtId="0" xfId="0" applyAlignment="1" applyFont="1">
      <alignment readingOrder="0" shrinkToFit="0" wrapText="1"/>
    </xf>
    <xf borderId="0" fillId="0" fontId="3" numFmtId="0" xfId="0" applyAlignment="1" applyFont="1">
      <alignment readingOrder="0" shrinkToFit="0" vertical="center" wrapText="1"/>
    </xf>
    <xf borderId="0" fillId="0" fontId="3" numFmtId="0" xfId="0" applyAlignment="1" applyFont="1">
      <alignment readingOrder="0" shrinkToFit="0" vertical="top"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shrinkToFit="0" vertical="bottom" wrapText="1"/>
    </xf>
    <xf borderId="0" fillId="0" fontId="2" numFmtId="0" xfId="0" applyAlignment="1" applyFont="1">
      <alignment shrinkToFit="0" vertical="bottom" wrapText="1"/>
    </xf>
    <xf borderId="0" fillId="2" fontId="4" numFmtId="0" xfId="0" applyAlignment="1" applyFont="1">
      <alignment readingOrder="0"/>
    </xf>
    <xf borderId="0" fillId="0" fontId="3" numFmtId="0" xfId="0" applyAlignment="1" applyFont="1">
      <alignment horizontal="center" shrinkToFit="0" wrapText="1"/>
    </xf>
    <xf borderId="0" fillId="3" fontId="8" numFmtId="0" xfId="0" applyAlignment="1" applyFill="1" applyFont="1">
      <alignment horizontal="center" readingOrder="0"/>
    </xf>
    <xf borderId="0" fillId="2" fontId="9" numFmtId="164" xfId="0" applyAlignment="1" applyFont="1" applyNumberFormat="1">
      <alignment horizontal="center" readingOrder="0" vertical="center"/>
    </xf>
    <xf borderId="0" fillId="2" fontId="9" numFmtId="164" xfId="0" applyAlignment="1" applyFont="1" applyNumberFormat="1">
      <alignment horizontal="center" readingOrder="0" shrinkToFit="0" vertical="center" wrapText="1"/>
    </xf>
    <xf borderId="0" fillId="0" fontId="1" numFmtId="0" xfId="0" applyAlignment="1" applyFont="1">
      <alignment horizontal="left" readingOrder="0" shrinkToFit="0" vertical="bottom" wrapText="1"/>
    </xf>
    <xf borderId="0" fillId="0" fontId="3" numFmtId="0" xfId="0" applyAlignment="1" applyFont="1">
      <alignment horizontal="left"/>
    </xf>
    <xf borderId="0" fillId="2" fontId="9" numFmtId="0" xfId="0" applyAlignment="1" applyFont="1">
      <alignment horizontal="center" readingOrder="0" shrinkToFit="0" vertical="center" wrapText="1"/>
    </xf>
    <xf borderId="0" fillId="2" fontId="4" numFmtId="0" xfId="0" applyAlignment="1" applyFont="1">
      <alignment readingOrder="0" shrinkToFit="0" wrapText="1"/>
    </xf>
    <xf borderId="0" fillId="2" fontId="9" numFmtId="0" xfId="0" applyAlignment="1" applyFont="1">
      <alignment readingOrder="0" shrinkToFit="0" wrapText="1"/>
    </xf>
    <xf borderId="0" fillId="0" fontId="3" numFmtId="49" xfId="0" applyAlignment="1" applyFont="1" applyNumberFormat="1">
      <alignment horizontal="center" readingOrder="0" shrinkToFit="0" vertical="center" wrapText="1"/>
    </xf>
    <xf borderId="0" fillId="0" fontId="3" numFmtId="0" xfId="0" applyAlignment="1" applyFont="1">
      <alignment readingOrder="0"/>
    </xf>
    <xf borderId="0" fillId="0" fontId="1" numFmtId="49" xfId="0" applyAlignment="1" applyFont="1" applyNumberFormat="1">
      <alignment horizontal="center" shrinkToFit="0" vertical="center" wrapText="1"/>
    </xf>
    <xf borderId="0" fillId="0" fontId="3" numFmtId="49" xfId="0" applyAlignment="1" applyFont="1" applyNumberFormat="1">
      <alignment horizontal="center" vertical="center"/>
    </xf>
    <xf borderId="0" fillId="0" fontId="10" numFmtId="0" xfId="0" applyAlignment="1" applyFont="1">
      <alignment readingOrder="0" vertical="bottom"/>
    </xf>
    <xf borderId="0" fillId="0" fontId="10" numFmtId="0" xfId="0" applyAlignment="1" applyFont="1">
      <alignment vertical="bottom"/>
    </xf>
    <xf borderId="1" fillId="0" fontId="10" numFmtId="0" xfId="0" applyAlignment="1" applyBorder="1" applyFont="1">
      <alignment readingOrder="0" vertical="bottom"/>
    </xf>
    <xf borderId="2" fillId="0" fontId="3" numFmtId="0" xfId="0" applyAlignment="1" applyBorder="1" applyFont="1">
      <alignment readingOrder="0"/>
    </xf>
    <xf borderId="2" fillId="0" fontId="10" numFmtId="0" xfId="0" applyAlignment="1" applyBorder="1" applyFont="1">
      <alignment readingOrder="0" vertical="bottom"/>
    </xf>
    <xf borderId="2" fillId="0" fontId="3" numFmtId="0" xfId="0" applyBorder="1" applyFont="1"/>
    <xf borderId="2" fillId="0" fontId="10" numFmtId="0" xfId="0" applyAlignment="1" applyBorder="1" applyFont="1">
      <alignment vertical="bottom"/>
    </xf>
    <xf borderId="3" fillId="0" fontId="10" numFmtId="0" xfId="0" applyAlignment="1" applyBorder="1" applyFont="1">
      <alignment vertical="bottom"/>
    </xf>
    <xf borderId="4" fillId="0" fontId="10" numFmtId="0" xfId="0" applyAlignment="1" applyBorder="1" applyFont="1">
      <alignment readingOrder="0" vertical="bottom"/>
    </xf>
    <xf borderId="5" fillId="4" fontId="11" numFmtId="0" xfId="0" applyAlignment="1" applyBorder="1" applyFill="1" applyFont="1">
      <alignment readingOrder="0"/>
    </xf>
    <xf borderId="5" fillId="4" fontId="12" numFmtId="0" xfId="0" applyAlignment="1" applyBorder="1" applyFont="1">
      <alignment readingOrder="0" vertical="bottom"/>
    </xf>
    <xf borderId="5" fillId="4" fontId="11" numFmtId="0" xfId="0" applyBorder="1" applyFont="1"/>
    <xf borderId="6" fillId="0" fontId="3" numFmtId="0" xfId="0" applyBorder="1" applyFont="1"/>
    <xf borderId="6" fillId="0" fontId="10" numFmtId="0" xfId="0" applyAlignment="1" applyBorder="1" applyFont="1">
      <alignment vertical="bottom"/>
    </xf>
    <xf borderId="7" fillId="0" fontId="10" numFmtId="0" xfId="0" applyAlignment="1" applyBorder="1" applyFont="1">
      <alignment vertical="bottom"/>
    </xf>
    <xf borderId="0" fillId="0" fontId="13" numFmtId="0" xfId="0" applyAlignment="1" applyFont="1">
      <alignment readingOrder="0" shrinkToFit="0" vertical="bottom" wrapText="1"/>
    </xf>
    <xf borderId="0" fillId="0" fontId="14" numFmtId="0" xfId="0" applyAlignment="1" applyFont="1">
      <alignment readingOrder="0" shrinkToFit="0" vertical="bottom" wrapText="1"/>
    </xf>
    <xf borderId="8" fillId="0" fontId="15" numFmtId="0" xfId="0" applyAlignment="1" applyBorder="1" applyFont="1">
      <alignment horizontal="center" readingOrder="0" vertical="bottom"/>
    </xf>
    <xf borderId="9" fillId="0" fontId="16" numFmtId="0" xfId="0" applyBorder="1" applyFont="1"/>
    <xf borderId="10" fillId="0" fontId="16" numFmtId="0" xfId="0" applyBorder="1" applyFont="1"/>
    <xf borderId="11" fillId="0" fontId="17" numFmtId="0" xfId="0" applyAlignment="1" applyBorder="1" applyFont="1">
      <alignment horizontal="center" shrinkToFit="0" vertical="bottom" wrapText="1"/>
    </xf>
    <xf borderId="11" fillId="0" fontId="17" numFmtId="0" xfId="0" applyAlignment="1" applyBorder="1" applyFont="1">
      <alignment horizontal="center" readingOrder="0" shrinkToFit="0" vertical="bottom" wrapText="1"/>
    </xf>
    <xf borderId="11" fillId="5" fontId="17" numFmtId="0" xfId="0" applyAlignment="1" applyBorder="1" applyFill="1" applyFont="1">
      <alignment horizontal="center" readingOrder="0" shrinkToFit="0" vertical="bottom" wrapText="1"/>
    </xf>
    <xf borderId="11" fillId="0" fontId="18" numFmtId="0" xfId="0" applyAlignment="1" applyBorder="1" applyFont="1">
      <alignment horizontal="center" shrinkToFit="0" vertical="bottom" wrapText="1"/>
    </xf>
    <xf borderId="11" fillId="0" fontId="18" numFmtId="0" xfId="0" applyAlignment="1" applyBorder="1" applyFont="1">
      <alignment shrinkToFit="0" vertical="bottom" wrapText="1"/>
    </xf>
    <xf borderId="11" fillId="0" fontId="18" numFmtId="165" xfId="0" applyAlignment="1" applyBorder="1" applyFont="1" applyNumberFormat="1">
      <alignment horizontal="center" shrinkToFit="0" vertical="bottom" wrapText="1"/>
    </xf>
    <xf borderId="11" fillId="0" fontId="18" numFmtId="165" xfId="0" applyAlignment="1" applyBorder="1" applyFont="1" applyNumberFormat="1">
      <alignment horizontal="right" shrinkToFit="0" vertical="bottom" wrapText="1"/>
    </xf>
    <xf borderId="11" fillId="2" fontId="19" numFmtId="3" xfId="0" applyAlignment="1" applyBorder="1" applyFont="1" applyNumberFormat="1">
      <alignment horizontal="center" readingOrder="0" vertical="bottom"/>
    </xf>
    <xf borderId="11" fillId="0" fontId="3" numFmtId="0" xfId="0" applyBorder="1" applyFont="1"/>
    <xf borderId="11" fillId="6" fontId="19" numFmtId="3" xfId="0" applyAlignment="1" applyBorder="1" applyFill="1" applyFont="1" applyNumberFormat="1">
      <alignment horizontal="center" readingOrder="0" vertical="bottom"/>
    </xf>
    <xf borderId="11" fillId="0" fontId="13" numFmtId="164" xfId="0" applyAlignment="1" applyBorder="1" applyFont="1" applyNumberFormat="1">
      <alignment horizontal="right" readingOrder="0" vertical="bottom"/>
    </xf>
    <xf borderId="11" fillId="0" fontId="13" numFmtId="0" xfId="0" applyAlignment="1" applyBorder="1" applyFont="1">
      <alignment readingOrder="0" vertical="top"/>
    </xf>
    <xf borderId="11" fillId="0" fontId="20" numFmtId="0" xfId="0" applyAlignment="1" applyBorder="1" applyFont="1">
      <alignment horizontal="center" shrinkToFit="0" vertical="bottom" wrapText="1"/>
    </xf>
    <xf borderId="11" fillId="0" fontId="21" numFmtId="0" xfId="0" applyAlignment="1" applyBorder="1" applyFont="1">
      <alignment horizontal="right" shrinkToFit="0" vertical="bottom" wrapText="1"/>
    </xf>
    <xf borderId="11" fillId="2" fontId="22" numFmtId="165" xfId="0" applyAlignment="1" applyBorder="1" applyFont="1" applyNumberFormat="1">
      <alignment horizontal="right" vertical="bottom"/>
    </xf>
    <xf borderId="0" fillId="2" fontId="10" numFmtId="0" xfId="0" applyAlignment="1" applyFont="1">
      <alignment vertical="top"/>
    </xf>
    <xf borderId="11" fillId="0" fontId="13" numFmtId="164" xfId="0" applyAlignment="1" applyBorder="1" applyFont="1" applyNumberFormat="1">
      <alignment horizontal="right" vertical="bottom"/>
    </xf>
    <xf borderId="11" fillId="0" fontId="13" numFmtId="0" xfId="0" applyAlignment="1" applyBorder="1" applyFont="1">
      <alignment vertical="top"/>
    </xf>
    <xf borderId="12" fillId="2" fontId="10" numFmtId="0" xfId="0" applyAlignment="1" applyBorder="1" applyFont="1">
      <alignment vertical="top"/>
    </xf>
    <xf borderId="12" fillId="7" fontId="10" numFmtId="0" xfId="0" applyAlignment="1" applyBorder="1" applyFill="1" applyFont="1">
      <alignment vertical="top"/>
    </xf>
    <xf borderId="12" fillId="0" fontId="10" numFmtId="0" xfId="0" applyAlignment="1" applyBorder="1" applyFont="1">
      <alignment vertical="top"/>
    </xf>
    <xf borderId="11" fillId="6" fontId="22" numFmtId="3" xfId="0" applyAlignment="1" applyBorder="1" applyFont="1" applyNumberFormat="1">
      <alignment horizontal="center" vertical="bottom"/>
    </xf>
    <xf borderId="11" fillId="2" fontId="22" numFmtId="3" xfId="0" applyAlignment="1" applyBorder="1" applyFont="1" applyNumberFormat="1">
      <alignment horizontal="center" vertical="bottom"/>
    </xf>
    <xf borderId="11" fillId="0" fontId="13" numFmtId="0" xfId="0" applyAlignment="1" applyBorder="1" applyFont="1">
      <alignment vertical="bottom"/>
    </xf>
    <xf borderId="11" fillId="0" fontId="13" numFmtId="0" xfId="0" applyAlignment="1" applyBorder="1" applyFont="1">
      <alignment readingOrder="0" vertical="bottom"/>
    </xf>
    <xf borderId="11" fillId="0" fontId="20" numFmtId="0" xfId="0" applyAlignment="1" applyBorder="1" applyFont="1">
      <alignment horizontal="center" readingOrder="0" shrinkToFit="0" vertical="bottom" wrapText="1"/>
    </xf>
    <xf borderId="11" fillId="2" fontId="19" numFmtId="165" xfId="0" applyAlignment="1" applyBorder="1" applyFont="1" applyNumberFormat="1">
      <alignment horizontal="right" readingOrder="0" vertical="bottom"/>
    </xf>
    <xf borderId="11" fillId="0" fontId="2" numFmtId="0" xfId="0" applyAlignment="1" applyBorder="1" applyFont="1">
      <alignment horizontal="center" readingOrder="0" shrinkToFit="0" vertical="bottom" wrapText="1"/>
    </xf>
    <xf borderId="11" fillId="2" fontId="22" numFmtId="165" xfId="0" applyAlignment="1" applyBorder="1" applyFont="1" applyNumberFormat="1">
      <alignment horizontal="center" vertical="bottom"/>
    </xf>
    <xf borderId="0" fillId="0" fontId="18" numFmtId="165" xfId="0" applyAlignment="1" applyFont="1" applyNumberFormat="1">
      <alignment horizontal="center" shrinkToFit="0" vertical="bottom" wrapText="1"/>
    </xf>
    <xf borderId="0" fillId="0" fontId="18" numFmtId="165" xfId="0" applyAlignment="1" applyFont="1" applyNumberFormat="1">
      <alignment horizontal="right" shrinkToFit="0" vertical="bottom" wrapText="1"/>
    </xf>
    <xf borderId="0" fillId="0" fontId="10" numFmtId="3" xfId="0" applyAlignment="1" applyFont="1" applyNumberFormat="1">
      <alignment vertical="bottom"/>
    </xf>
    <xf borderId="0" fillId="0" fontId="10" numFmtId="165" xfId="0" applyAlignment="1" applyFont="1" applyNumberFormat="1">
      <alignment vertical="bottom"/>
    </xf>
    <xf borderId="0" fillId="0" fontId="10" numFmtId="10" xfId="0" applyAlignment="1" applyFont="1" applyNumberFormat="1">
      <alignment vertical="bottom"/>
    </xf>
    <xf borderId="0" fillId="0" fontId="3" numFmtId="164" xfId="0" applyAlignment="1" applyFont="1" applyNumberFormat="1">
      <alignment horizontal="center" readingOrder="0" shrinkToFit="0" vertical="center" wrapText="1"/>
    </xf>
    <xf borderId="0" fillId="2" fontId="23" numFmtId="0" xfId="0" applyAlignment="1" applyFont="1">
      <alignment readingOrder="0"/>
    </xf>
    <xf borderId="0" fillId="0" fontId="3" numFmtId="0" xfId="0" applyAlignment="1" applyFont="1">
      <alignment vertical="center"/>
    </xf>
    <xf borderId="0" fillId="3" fontId="24" numFmtId="0" xfId="0" applyAlignment="1" applyFont="1">
      <alignment horizontal="center" readingOrder="0" vertical="center"/>
    </xf>
    <xf borderId="0" fillId="3" fontId="24" numFmtId="0" xfId="0" applyAlignment="1" applyFont="1">
      <alignment horizontal="center" readingOrder="0" vertical="bottom"/>
    </xf>
    <xf borderId="0" fillId="3" fontId="25" numFmtId="0" xfId="0" applyAlignment="1" applyFont="1">
      <alignment horizontal="center" readingOrder="0" vertical="center"/>
    </xf>
    <xf borderId="0" fillId="3" fontId="25" numFmtId="0" xfId="0" applyAlignment="1" applyFont="1">
      <alignment horizontal="center" readingOrder="0" vertical="bottom"/>
    </xf>
    <xf borderId="0" fillId="2" fontId="9" numFmtId="0" xfId="0" applyAlignment="1" applyFont="1">
      <alignment readingOrder="0"/>
    </xf>
    <xf borderId="0" fillId="3" fontId="25" numFmtId="0" xfId="0" applyAlignment="1" applyFont="1">
      <alignment horizontal="left" readingOrder="0" vertical="bottom"/>
    </xf>
    <xf borderId="0" fillId="2" fontId="4" numFmtId="0" xfId="0" applyAlignment="1" applyFont="1">
      <alignment horizontal="left" readingOrder="0" vertical="bottom"/>
    </xf>
    <xf borderId="0" fillId="2" fontId="23" numFmtId="0" xfId="0" applyAlignment="1" applyFont="1">
      <alignment horizontal="left" readingOrder="0" vertical="bottom"/>
    </xf>
    <xf borderId="13" fillId="3" fontId="25" numFmtId="0" xfId="0" applyAlignment="1" applyBorder="1" applyFont="1">
      <alignment horizontal="center" vertical="bottom"/>
    </xf>
    <xf borderId="0" fillId="3" fontId="25" numFmtId="0" xfId="0" applyAlignment="1" applyFont="1">
      <alignment horizontal="center" vertical="bottom"/>
    </xf>
    <xf borderId="0" fillId="2" fontId="4" numFmtId="0" xfId="0" applyAlignment="1" applyFont="1">
      <alignment readingOrder="0" vertical="bottom"/>
    </xf>
    <xf borderId="14" fillId="3" fontId="25" numFmtId="0" xfId="0" applyAlignment="1" applyBorder="1" applyFont="1">
      <alignment horizontal="center" vertical="bottom"/>
    </xf>
    <xf borderId="0" fillId="2" fontId="2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1.xml"/><Relationship Id="rId3" Type="http://schemas.openxmlformats.org/officeDocument/2006/relationships/vmlDrawing" Target="../drawings/vmlDrawing1.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3.44"/>
    <col customWidth="1" min="4" max="4" width="31.11"/>
    <col customWidth="1" min="5" max="5" width="27.56"/>
    <col customWidth="1" min="6" max="6" width="23.33"/>
    <col customWidth="1" min="7" max="7" width="34.44"/>
    <col customWidth="1" min="8" max="8" width="56.44"/>
    <col customWidth="1" min="9" max="9" width="99.22"/>
    <col customWidth="1" min="10" max="10" width="44.11"/>
  </cols>
  <sheetData>
    <row r="1">
      <c r="A1" s="1" t="s">
        <v>0</v>
      </c>
      <c r="B1" s="2" t="s">
        <v>1</v>
      </c>
      <c r="C1" s="2" t="s">
        <v>2</v>
      </c>
      <c r="D1" s="2" t="s">
        <v>3</v>
      </c>
      <c r="E1" s="2" t="s">
        <v>4</v>
      </c>
      <c r="F1" s="2" t="s">
        <v>5</v>
      </c>
      <c r="G1" s="2" t="s">
        <v>6</v>
      </c>
      <c r="H1" s="1" t="s">
        <v>7</v>
      </c>
      <c r="I1" s="1" t="s">
        <v>8</v>
      </c>
      <c r="J1" s="1" t="s">
        <v>9</v>
      </c>
    </row>
    <row r="2" ht="1059.75" customHeight="1">
      <c r="A2" s="3" t="s">
        <v>10</v>
      </c>
      <c r="B2" s="4">
        <v>0.0</v>
      </c>
      <c r="C2" s="4" t="s">
        <v>11</v>
      </c>
      <c r="D2" s="4" t="s">
        <v>12</v>
      </c>
      <c r="E2" s="4" t="s">
        <v>13</v>
      </c>
      <c r="F2" s="4" t="s">
        <v>14</v>
      </c>
      <c r="G2" s="4" t="s">
        <v>15</v>
      </c>
      <c r="H2" s="4" t="s">
        <v>16</v>
      </c>
      <c r="I2" s="4" t="s">
        <v>17</v>
      </c>
      <c r="J2" s="4" t="s">
        <v>18</v>
      </c>
      <c r="K2" s="5"/>
      <c r="L2" s="5"/>
      <c r="M2" s="5"/>
      <c r="N2" s="5"/>
      <c r="O2" s="5"/>
      <c r="P2" s="5"/>
      <c r="Q2" s="5"/>
      <c r="R2" s="5"/>
      <c r="S2" s="5"/>
      <c r="T2" s="5"/>
      <c r="U2" s="5"/>
      <c r="V2" s="5"/>
      <c r="W2" s="5"/>
      <c r="X2" s="5"/>
      <c r="Y2" s="5"/>
      <c r="Z2" s="5"/>
      <c r="AA2"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56"/>
    <col customWidth="1" min="2" max="2" width="15.67"/>
    <col customWidth="1" min="3" max="3" width="23.56"/>
    <col customWidth="1" min="4" max="4" width="29.0"/>
    <col customWidth="1" min="5" max="5" width="18.56"/>
    <col customWidth="1" min="6" max="6" width="23.11"/>
    <col customWidth="1" min="7" max="7" width="32.33"/>
    <col customWidth="1" min="8" max="8" width="33.0"/>
    <col customWidth="1" min="9" max="9" width="42.33"/>
    <col customWidth="1" min="10" max="10" width="34.89"/>
  </cols>
  <sheetData>
    <row r="1">
      <c r="A1" s="1" t="s">
        <v>0</v>
      </c>
      <c r="B1" s="2" t="s">
        <v>1</v>
      </c>
      <c r="C1" s="2" t="s">
        <v>2</v>
      </c>
      <c r="D1" s="2" t="s">
        <v>3</v>
      </c>
      <c r="E1" s="2" t="s">
        <v>4</v>
      </c>
      <c r="F1" s="2" t="s">
        <v>5</v>
      </c>
      <c r="G1" s="2" t="s">
        <v>6</v>
      </c>
      <c r="H1" s="1" t="s">
        <v>7</v>
      </c>
      <c r="I1" s="1" t="s">
        <v>8</v>
      </c>
      <c r="J1" s="1" t="s">
        <v>9</v>
      </c>
    </row>
    <row r="2">
      <c r="A2" s="6" t="s">
        <v>19</v>
      </c>
      <c r="B2" s="5" t="s">
        <v>20</v>
      </c>
      <c r="C2" s="5" t="s">
        <v>21</v>
      </c>
      <c r="D2" s="5" t="s">
        <v>22</v>
      </c>
      <c r="E2" s="5" t="s">
        <v>23</v>
      </c>
      <c r="F2" s="5" t="s">
        <v>24</v>
      </c>
      <c r="G2" s="5" t="s">
        <v>25</v>
      </c>
      <c r="H2" s="5" t="s">
        <v>26</v>
      </c>
      <c r="I2" s="5" t="s">
        <v>27</v>
      </c>
      <c r="J2" s="5" t="s">
        <v>28</v>
      </c>
      <c r="K2" s="5"/>
      <c r="L2" s="5"/>
      <c r="M2" s="5"/>
      <c r="N2" s="5"/>
      <c r="O2" s="5"/>
      <c r="P2" s="5"/>
      <c r="Q2" s="5"/>
      <c r="R2" s="5"/>
      <c r="S2" s="5"/>
      <c r="T2" s="5"/>
      <c r="U2" s="5"/>
      <c r="V2" s="5"/>
      <c r="W2" s="5"/>
      <c r="X2" s="5"/>
      <c r="Y2" s="5"/>
      <c r="Z2" s="5"/>
      <c r="AA2"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8.56"/>
    <col customWidth="1" min="4" max="4" width="31.22"/>
    <col customWidth="1" min="5" max="6" width="30.0"/>
    <col customWidth="1" min="7" max="7" width="35.0"/>
    <col customWidth="1" min="8" max="8" width="30.89"/>
    <col customWidth="1" min="9" max="9" width="45.89"/>
    <col customWidth="1" min="10" max="10" width="38.78"/>
  </cols>
  <sheetData>
    <row r="1">
      <c r="A1" s="7" t="s">
        <v>0</v>
      </c>
      <c r="B1" s="8" t="s">
        <v>1</v>
      </c>
      <c r="C1" s="8" t="s">
        <v>2</v>
      </c>
      <c r="D1" s="8" t="s">
        <v>3</v>
      </c>
      <c r="E1" s="8" t="s">
        <v>4</v>
      </c>
      <c r="F1" s="8" t="s">
        <v>5</v>
      </c>
      <c r="G1" s="8" t="s">
        <v>6</v>
      </c>
      <c r="H1" s="7" t="s">
        <v>7</v>
      </c>
      <c r="I1" s="7" t="s">
        <v>8</v>
      </c>
      <c r="J1" s="7" t="s">
        <v>9</v>
      </c>
      <c r="K1" s="9"/>
      <c r="L1" s="9"/>
      <c r="M1" s="9"/>
      <c r="N1" s="9"/>
      <c r="O1" s="9"/>
      <c r="P1" s="9"/>
      <c r="Q1" s="9"/>
      <c r="R1" s="9"/>
      <c r="S1" s="9"/>
      <c r="T1" s="9"/>
      <c r="U1" s="9"/>
      <c r="V1" s="9"/>
      <c r="W1" s="9"/>
      <c r="X1" s="9"/>
      <c r="Y1" s="9"/>
      <c r="Z1" s="9"/>
      <c r="AA1" s="9"/>
    </row>
    <row r="2">
      <c r="A2" s="6" t="s">
        <v>29</v>
      </c>
      <c r="B2" s="10">
        <v>1.0</v>
      </c>
      <c r="C2" s="5" t="s">
        <v>30</v>
      </c>
      <c r="D2" s="5" t="s">
        <v>31</v>
      </c>
      <c r="E2" s="5" t="s">
        <v>32</v>
      </c>
      <c r="F2" s="5" t="s">
        <v>33</v>
      </c>
      <c r="G2" s="5" t="s">
        <v>34</v>
      </c>
      <c r="H2" s="5" t="s">
        <v>35</v>
      </c>
      <c r="I2" s="5" t="s">
        <v>36</v>
      </c>
      <c r="J2" s="5" t="s">
        <v>37</v>
      </c>
      <c r="K2" s="5"/>
      <c r="L2" s="5"/>
      <c r="M2" s="5"/>
      <c r="N2" s="5"/>
      <c r="O2" s="5"/>
      <c r="P2" s="5"/>
      <c r="Q2" s="5"/>
      <c r="R2" s="5"/>
      <c r="S2" s="5"/>
      <c r="T2" s="5"/>
      <c r="U2" s="5"/>
      <c r="V2" s="5"/>
      <c r="W2" s="5"/>
      <c r="X2" s="5"/>
      <c r="Y2" s="5"/>
      <c r="Z2" s="5"/>
      <c r="AA2" s="5"/>
    </row>
    <row r="3">
      <c r="B3" s="6">
        <v>2.0</v>
      </c>
      <c r="C3" s="5" t="s">
        <v>30</v>
      </c>
      <c r="D3" s="5" t="s">
        <v>38</v>
      </c>
      <c r="E3" s="5" t="s">
        <v>32</v>
      </c>
      <c r="F3" s="5" t="s">
        <v>39</v>
      </c>
      <c r="G3" s="5" t="s">
        <v>40</v>
      </c>
      <c r="H3" s="5" t="s">
        <v>41</v>
      </c>
      <c r="I3" s="5" t="s">
        <v>42</v>
      </c>
      <c r="J3" s="5" t="s">
        <v>43</v>
      </c>
      <c r="K3" s="5"/>
      <c r="L3" s="5"/>
      <c r="M3" s="5"/>
      <c r="N3" s="5"/>
      <c r="O3" s="5"/>
      <c r="P3" s="5"/>
      <c r="Q3" s="5"/>
      <c r="R3" s="5"/>
      <c r="S3" s="5"/>
      <c r="T3" s="5"/>
      <c r="U3" s="5"/>
      <c r="V3" s="5"/>
      <c r="W3" s="5"/>
      <c r="X3" s="5"/>
      <c r="Y3" s="5"/>
      <c r="Z3" s="5"/>
      <c r="AA3" s="5"/>
    </row>
    <row r="4">
      <c r="B4" s="6">
        <v>3.0</v>
      </c>
      <c r="C4" s="5" t="s">
        <v>30</v>
      </c>
      <c r="D4" s="5" t="s">
        <v>44</v>
      </c>
      <c r="E4" s="5" t="s">
        <v>32</v>
      </c>
      <c r="F4" s="5" t="s">
        <v>45</v>
      </c>
      <c r="G4" s="5" t="s">
        <v>46</v>
      </c>
      <c r="H4" s="5" t="s">
        <v>47</v>
      </c>
      <c r="I4" s="5" t="s">
        <v>48</v>
      </c>
      <c r="J4" s="5" t="s">
        <v>49</v>
      </c>
      <c r="K4" s="5"/>
      <c r="L4" s="5"/>
      <c r="M4" s="5"/>
      <c r="N4" s="5"/>
      <c r="O4" s="5"/>
      <c r="P4" s="5"/>
      <c r="Q4" s="5"/>
      <c r="R4" s="5"/>
      <c r="S4" s="5"/>
      <c r="T4" s="5"/>
      <c r="U4" s="5"/>
      <c r="V4" s="5"/>
      <c r="W4" s="5"/>
      <c r="X4" s="5"/>
      <c r="Y4" s="5"/>
      <c r="Z4" s="5"/>
      <c r="AA4" s="5"/>
    </row>
    <row r="5">
      <c r="B5" s="6">
        <v>4.0</v>
      </c>
      <c r="C5" s="5" t="s">
        <v>30</v>
      </c>
      <c r="D5" s="5" t="s">
        <v>50</v>
      </c>
      <c r="E5" s="5" t="s">
        <v>32</v>
      </c>
      <c r="F5" s="5" t="s">
        <v>51</v>
      </c>
      <c r="G5" s="5" t="s">
        <v>52</v>
      </c>
      <c r="H5" s="5" t="s">
        <v>53</v>
      </c>
      <c r="I5" s="5" t="s">
        <v>54</v>
      </c>
      <c r="J5" s="5" t="s">
        <v>55</v>
      </c>
      <c r="K5" s="5"/>
      <c r="L5" s="5"/>
      <c r="M5" s="5"/>
      <c r="N5" s="5"/>
      <c r="O5" s="5"/>
      <c r="P5" s="5"/>
      <c r="Q5" s="5"/>
      <c r="R5" s="5"/>
      <c r="S5" s="5"/>
      <c r="T5" s="5"/>
      <c r="U5" s="5"/>
      <c r="V5" s="5"/>
      <c r="W5" s="5"/>
      <c r="X5" s="5"/>
      <c r="Y5" s="5"/>
      <c r="Z5" s="5"/>
      <c r="AA5" s="5"/>
    </row>
    <row r="6">
      <c r="B6" s="6">
        <v>5.0</v>
      </c>
      <c r="C6" s="5" t="s">
        <v>30</v>
      </c>
      <c r="D6" s="5" t="s">
        <v>56</v>
      </c>
      <c r="E6" s="5" t="s">
        <v>32</v>
      </c>
      <c r="F6" s="5" t="s">
        <v>57</v>
      </c>
      <c r="G6" s="5" t="s">
        <v>58</v>
      </c>
      <c r="H6" s="5" t="s">
        <v>59</v>
      </c>
      <c r="I6" s="5" t="s">
        <v>60</v>
      </c>
      <c r="J6" s="5" t="s">
        <v>61</v>
      </c>
      <c r="K6" s="5"/>
      <c r="L6" s="5"/>
      <c r="M6" s="5"/>
      <c r="N6" s="5"/>
      <c r="O6" s="5"/>
      <c r="P6" s="5"/>
      <c r="Q6" s="5"/>
      <c r="R6" s="5"/>
      <c r="S6" s="5"/>
      <c r="T6" s="5"/>
      <c r="U6" s="5"/>
      <c r="V6" s="5"/>
      <c r="W6" s="5"/>
      <c r="X6" s="5"/>
      <c r="Y6" s="5"/>
      <c r="Z6" s="5"/>
      <c r="AA6" s="5"/>
    </row>
    <row r="7">
      <c r="B7" s="6">
        <v>6.0</v>
      </c>
      <c r="C7" s="5" t="s">
        <v>30</v>
      </c>
      <c r="D7" s="5" t="s">
        <v>62</v>
      </c>
      <c r="E7" s="5" t="s">
        <v>32</v>
      </c>
      <c r="F7" s="5" t="s">
        <v>63</v>
      </c>
      <c r="G7" s="5" t="s">
        <v>64</v>
      </c>
      <c r="H7" s="5" t="s">
        <v>65</v>
      </c>
      <c r="I7" s="5" t="s">
        <v>66</v>
      </c>
      <c r="J7" s="5" t="s">
        <v>67</v>
      </c>
      <c r="K7" s="5"/>
      <c r="L7" s="5"/>
      <c r="M7" s="5"/>
      <c r="N7" s="5"/>
      <c r="O7" s="5"/>
      <c r="P7" s="5"/>
      <c r="Q7" s="5"/>
      <c r="R7" s="5"/>
      <c r="S7" s="5"/>
      <c r="T7" s="5"/>
      <c r="U7" s="5"/>
      <c r="V7" s="5"/>
      <c r="W7" s="5"/>
      <c r="X7" s="5"/>
      <c r="Y7" s="5"/>
      <c r="Z7" s="5"/>
      <c r="AA7" s="5"/>
    </row>
    <row r="8">
      <c r="B8" s="6">
        <v>7.0</v>
      </c>
      <c r="C8" s="5" t="s">
        <v>30</v>
      </c>
      <c r="D8" s="5" t="s">
        <v>68</v>
      </c>
      <c r="E8" s="5" t="s">
        <v>32</v>
      </c>
      <c r="F8" s="5" t="s">
        <v>69</v>
      </c>
      <c r="G8" s="5" t="s">
        <v>70</v>
      </c>
      <c r="H8" s="5" t="s">
        <v>71</v>
      </c>
      <c r="I8" s="5" t="s">
        <v>72</v>
      </c>
      <c r="J8" s="5" t="s">
        <v>73</v>
      </c>
      <c r="K8" s="5"/>
      <c r="L8" s="5"/>
      <c r="M8" s="5"/>
      <c r="N8" s="5"/>
      <c r="O8" s="5"/>
      <c r="P8" s="5"/>
      <c r="Q8" s="5"/>
      <c r="R8" s="5"/>
      <c r="S8" s="5"/>
      <c r="T8" s="5"/>
      <c r="U8" s="5"/>
      <c r="V8" s="5"/>
      <c r="W8" s="5"/>
      <c r="X8" s="5"/>
      <c r="Y8" s="5"/>
      <c r="Z8" s="5"/>
      <c r="AA8" s="5"/>
    </row>
    <row r="9">
      <c r="B9" s="6">
        <v>8.0</v>
      </c>
      <c r="C9" s="5" t="s">
        <v>30</v>
      </c>
      <c r="D9" s="5" t="s">
        <v>74</v>
      </c>
      <c r="E9" s="5" t="s">
        <v>32</v>
      </c>
      <c r="F9" s="5" t="s">
        <v>75</v>
      </c>
      <c r="G9" s="5" t="s">
        <v>76</v>
      </c>
      <c r="H9" s="5" t="s">
        <v>77</v>
      </c>
      <c r="I9" s="5" t="s">
        <v>78</v>
      </c>
      <c r="J9" s="5" t="s">
        <v>79</v>
      </c>
      <c r="K9" s="5"/>
      <c r="L9" s="5"/>
      <c r="M9" s="5"/>
      <c r="N9" s="5"/>
      <c r="O9" s="5"/>
      <c r="P9" s="5"/>
      <c r="Q9" s="5"/>
      <c r="R9" s="5"/>
      <c r="S9" s="5"/>
      <c r="T9" s="5"/>
      <c r="U9" s="5"/>
      <c r="V9" s="5"/>
      <c r="W9" s="5"/>
      <c r="X9" s="5"/>
      <c r="Y9" s="5"/>
      <c r="Z9" s="5"/>
      <c r="AA9" s="5"/>
    </row>
    <row r="10">
      <c r="B10" s="6">
        <v>9.0</v>
      </c>
      <c r="C10" s="5" t="s">
        <v>80</v>
      </c>
      <c r="D10" s="5" t="s">
        <v>81</v>
      </c>
      <c r="E10" s="5" t="s">
        <v>32</v>
      </c>
      <c r="F10" s="5" t="s">
        <v>82</v>
      </c>
      <c r="G10" s="5" t="s">
        <v>83</v>
      </c>
      <c r="H10" s="5" t="s">
        <v>84</v>
      </c>
      <c r="I10" s="5" t="s">
        <v>85</v>
      </c>
      <c r="J10" s="5" t="s">
        <v>86</v>
      </c>
      <c r="K10" s="5"/>
      <c r="L10" s="5"/>
      <c r="M10" s="5"/>
      <c r="N10" s="5"/>
      <c r="O10" s="5"/>
      <c r="P10" s="5"/>
      <c r="Q10" s="5"/>
      <c r="R10" s="5"/>
      <c r="S10" s="5"/>
      <c r="T10" s="5"/>
      <c r="U10" s="5"/>
      <c r="V10" s="5"/>
      <c r="W10" s="5"/>
      <c r="X10" s="5"/>
      <c r="Y10" s="5"/>
      <c r="Z10" s="5"/>
      <c r="AA10" s="5"/>
    </row>
    <row r="11">
      <c r="B11" s="11"/>
    </row>
    <row r="12">
      <c r="B12" s="11"/>
    </row>
    <row r="13">
      <c r="B13" s="11"/>
    </row>
    <row r="14">
      <c r="B14" s="11"/>
    </row>
    <row r="15">
      <c r="B15" s="11"/>
    </row>
    <row r="16">
      <c r="B16" s="11"/>
    </row>
    <row r="17">
      <c r="B17" s="11"/>
    </row>
    <row r="18">
      <c r="B18" s="11"/>
    </row>
    <row r="19">
      <c r="B19" s="11"/>
    </row>
    <row r="20">
      <c r="B20" s="11"/>
    </row>
    <row r="21">
      <c r="B21" s="11"/>
    </row>
    <row r="22">
      <c r="B22" s="11"/>
    </row>
    <row r="23">
      <c r="B23" s="11"/>
    </row>
    <row r="24">
      <c r="B24" s="11"/>
    </row>
    <row r="25">
      <c r="B25" s="11"/>
    </row>
    <row r="26">
      <c r="B26" s="11"/>
    </row>
    <row r="27">
      <c r="B27" s="11"/>
    </row>
    <row r="28">
      <c r="B28" s="11"/>
    </row>
    <row r="29">
      <c r="B29" s="11"/>
    </row>
    <row r="30">
      <c r="B30" s="11"/>
    </row>
    <row r="31">
      <c r="B31" s="11"/>
    </row>
    <row r="32">
      <c r="B32" s="11"/>
    </row>
    <row r="33">
      <c r="B33" s="11"/>
    </row>
    <row r="34">
      <c r="B34" s="11"/>
    </row>
    <row r="35">
      <c r="B35" s="11"/>
    </row>
    <row r="36">
      <c r="B36" s="11"/>
    </row>
    <row r="37">
      <c r="B37" s="11"/>
    </row>
    <row r="38">
      <c r="B38" s="11"/>
    </row>
    <row r="39">
      <c r="B39" s="11"/>
    </row>
    <row r="40">
      <c r="B40" s="11"/>
    </row>
    <row r="41">
      <c r="B41" s="11"/>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row r="1000">
      <c r="B1000" s="11"/>
    </row>
  </sheetData>
  <mergeCells count="1">
    <mergeCell ref="A2:A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0.0"/>
    <col customWidth="1" min="4" max="4" width="45.22"/>
    <col customWidth="1" min="5" max="5" width="35.78"/>
    <col customWidth="1" min="6" max="6" width="34.0"/>
    <col customWidth="1" min="7" max="7" width="42.67"/>
    <col customWidth="1" min="8" max="8" width="37.11"/>
    <col customWidth="1" min="9" max="9" width="45.89"/>
    <col customWidth="1" min="10" max="10" width="35.33"/>
    <col customWidth="1" min="11" max="11" width="45.22"/>
  </cols>
  <sheetData>
    <row r="1">
      <c r="A1" s="7" t="s">
        <v>0</v>
      </c>
      <c r="B1" s="8" t="s">
        <v>1</v>
      </c>
      <c r="C1" s="8" t="s">
        <v>2</v>
      </c>
      <c r="D1" s="8" t="s">
        <v>3</v>
      </c>
      <c r="E1" s="8" t="s">
        <v>4</v>
      </c>
      <c r="F1" s="8" t="s">
        <v>5</v>
      </c>
      <c r="G1" s="8" t="s">
        <v>6</v>
      </c>
      <c r="H1" s="7" t="s">
        <v>7</v>
      </c>
      <c r="I1" s="7" t="s">
        <v>8</v>
      </c>
      <c r="J1" s="7" t="s">
        <v>87</v>
      </c>
      <c r="K1" s="7" t="s">
        <v>9</v>
      </c>
      <c r="M1" s="9"/>
      <c r="N1" s="9"/>
      <c r="O1" s="9"/>
      <c r="P1" s="9"/>
      <c r="Q1" s="9"/>
      <c r="R1" s="9"/>
      <c r="S1" s="9"/>
      <c r="T1" s="9"/>
      <c r="U1" s="9"/>
      <c r="V1" s="9"/>
      <c r="W1" s="9"/>
      <c r="X1" s="9"/>
      <c r="Y1" s="9"/>
      <c r="Z1" s="9"/>
      <c r="AA1" s="9"/>
    </row>
    <row r="2">
      <c r="A2" s="10" t="s">
        <v>88</v>
      </c>
      <c r="B2" s="12">
        <v>1.0</v>
      </c>
      <c r="C2" s="5" t="s">
        <v>89</v>
      </c>
      <c r="D2" s="5" t="s">
        <v>90</v>
      </c>
      <c r="E2" s="5" t="s">
        <v>91</v>
      </c>
      <c r="F2" s="5" t="s">
        <v>92</v>
      </c>
      <c r="G2" s="5" t="s">
        <v>93</v>
      </c>
      <c r="H2" s="5" t="s">
        <v>94</v>
      </c>
      <c r="I2" s="5" t="s">
        <v>95</v>
      </c>
      <c r="J2" s="10" t="s">
        <v>96</v>
      </c>
      <c r="K2" s="5" t="s">
        <v>97</v>
      </c>
    </row>
    <row r="3">
      <c r="B3" s="13">
        <v>2.0</v>
      </c>
      <c r="C3" s="5" t="s">
        <v>98</v>
      </c>
      <c r="D3" s="5" t="s">
        <v>99</v>
      </c>
      <c r="E3" s="5" t="s">
        <v>100</v>
      </c>
      <c r="F3" s="5" t="s">
        <v>101</v>
      </c>
      <c r="G3" s="5" t="s">
        <v>102</v>
      </c>
      <c r="H3" s="5" t="s">
        <v>103</v>
      </c>
      <c r="I3" s="5" t="s">
        <v>104</v>
      </c>
      <c r="J3" s="10" t="s">
        <v>96</v>
      </c>
      <c r="K3" s="5" t="s">
        <v>105</v>
      </c>
    </row>
    <row r="4">
      <c r="B4" s="13">
        <v>3.0</v>
      </c>
      <c r="C4" s="5" t="s">
        <v>106</v>
      </c>
      <c r="D4" s="5" t="s">
        <v>107</v>
      </c>
      <c r="E4" s="5" t="s">
        <v>108</v>
      </c>
      <c r="F4" s="5" t="s">
        <v>109</v>
      </c>
      <c r="G4" s="5" t="s">
        <v>110</v>
      </c>
      <c r="H4" s="5" t="s">
        <v>111</v>
      </c>
      <c r="I4" s="5" t="s">
        <v>112</v>
      </c>
      <c r="J4" s="10" t="s">
        <v>96</v>
      </c>
      <c r="K4" s="5" t="s">
        <v>113</v>
      </c>
    </row>
    <row r="5">
      <c r="B5" s="13">
        <v>4.0</v>
      </c>
      <c r="C5" s="5" t="s">
        <v>114</v>
      </c>
      <c r="D5" s="5" t="s">
        <v>115</v>
      </c>
      <c r="E5" s="5" t="s">
        <v>116</v>
      </c>
      <c r="F5" s="5" t="s">
        <v>117</v>
      </c>
      <c r="G5" s="5" t="s">
        <v>118</v>
      </c>
      <c r="H5" s="5" t="s">
        <v>119</v>
      </c>
      <c r="I5" s="5" t="s">
        <v>120</v>
      </c>
      <c r="J5" s="10" t="s">
        <v>96</v>
      </c>
      <c r="K5" s="5" t="s">
        <v>121</v>
      </c>
    </row>
    <row r="6">
      <c r="B6" s="13">
        <v>5.0</v>
      </c>
      <c r="C6" s="5" t="s">
        <v>122</v>
      </c>
      <c r="D6" s="5" t="s">
        <v>123</v>
      </c>
      <c r="E6" s="5" t="s">
        <v>124</v>
      </c>
      <c r="F6" s="5" t="s">
        <v>125</v>
      </c>
      <c r="G6" s="5" t="s">
        <v>126</v>
      </c>
      <c r="H6" s="5" t="s">
        <v>127</v>
      </c>
      <c r="I6" s="5" t="s">
        <v>128</v>
      </c>
      <c r="J6" s="10" t="s">
        <v>96</v>
      </c>
      <c r="K6" s="5" t="s">
        <v>129</v>
      </c>
    </row>
    <row r="7">
      <c r="B7" s="13">
        <v>6.0</v>
      </c>
      <c r="C7" s="5" t="s">
        <v>130</v>
      </c>
      <c r="D7" s="5" t="s">
        <v>131</v>
      </c>
      <c r="E7" s="5" t="s">
        <v>132</v>
      </c>
      <c r="F7" s="5" t="s">
        <v>133</v>
      </c>
      <c r="G7" s="5" t="s">
        <v>134</v>
      </c>
      <c r="H7" s="5" t="s">
        <v>135</v>
      </c>
      <c r="I7" s="5" t="s">
        <v>136</v>
      </c>
      <c r="J7" s="12" t="s">
        <v>96</v>
      </c>
      <c r="K7" s="5" t="s">
        <v>137</v>
      </c>
    </row>
    <row r="8">
      <c r="B8" s="14"/>
      <c r="J8" s="14"/>
    </row>
    <row r="9">
      <c r="B9" s="14"/>
      <c r="J9" s="14"/>
    </row>
    <row r="10">
      <c r="B10" s="14"/>
      <c r="J10" s="14"/>
    </row>
    <row r="11">
      <c r="B11" s="14"/>
      <c r="J11" s="14"/>
    </row>
    <row r="12">
      <c r="B12" s="14"/>
      <c r="J12" s="14"/>
    </row>
    <row r="13">
      <c r="B13" s="14"/>
      <c r="J13" s="14"/>
    </row>
    <row r="14">
      <c r="B14" s="14"/>
      <c r="J14" s="14"/>
    </row>
    <row r="15">
      <c r="B15" s="14"/>
      <c r="J15" s="14"/>
    </row>
    <row r="16">
      <c r="B16" s="14"/>
      <c r="J16" s="14"/>
    </row>
    <row r="17">
      <c r="B17" s="14"/>
      <c r="J17" s="14"/>
    </row>
    <row r="18">
      <c r="B18" s="14"/>
      <c r="J18" s="14"/>
    </row>
    <row r="19">
      <c r="B19" s="14"/>
      <c r="J19" s="14"/>
    </row>
    <row r="20">
      <c r="B20" s="14"/>
      <c r="J20" s="14"/>
    </row>
    <row r="21">
      <c r="B21" s="14"/>
      <c r="J21" s="14"/>
    </row>
    <row r="22">
      <c r="B22" s="14"/>
      <c r="J22" s="14"/>
    </row>
    <row r="23">
      <c r="B23" s="14"/>
      <c r="J23" s="14"/>
    </row>
    <row r="24">
      <c r="B24" s="14"/>
      <c r="J24" s="14"/>
    </row>
    <row r="25">
      <c r="B25" s="14"/>
      <c r="J25" s="14"/>
    </row>
    <row r="26">
      <c r="B26" s="14"/>
      <c r="J26" s="14"/>
    </row>
    <row r="27">
      <c r="B27" s="14"/>
      <c r="J27" s="14"/>
    </row>
    <row r="28">
      <c r="B28" s="14"/>
      <c r="J28" s="14"/>
    </row>
    <row r="29">
      <c r="B29" s="14"/>
      <c r="J29" s="14"/>
    </row>
    <row r="30">
      <c r="B30" s="14"/>
      <c r="J30" s="14"/>
    </row>
    <row r="31">
      <c r="B31" s="14"/>
      <c r="J31" s="14"/>
    </row>
    <row r="32">
      <c r="B32" s="14"/>
      <c r="J32" s="14"/>
    </row>
    <row r="33">
      <c r="B33" s="14"/>
      <c r="J33" s="14"/>
    </row>
    <row r="34">
      <c r="B34" s="14"/>
      <c r="J34" s="14"/>
    </row>
    <row r="35">
      <c r="B35" s="14"/>
      <c r="J35" s="14"/>
    </row>
    <row r="36">
      <c r="B36" s="14"/>
      <c r="J36" s="14"/>
    </row>
    <row r="37">
      <c r="B37" s="14"/>
      <c r="J37" s="14"/>
    </row>
    <row r="38">
      <c r="B38" s="14"/>
      <c r="J38" s="14"/>
    </row>
    <row r="39">
      <c r="B39" s="14"/>
      <c r="J39" s="14"/>
    </row>
    <row r="40">
      <c r="B40" s="14"/>
      <c r="J40" s="14"/>
    </row>
    <row r="41">
      <c r="B41" s="14"/>
      <c r="J41" s="14"/>
    </row>
    <row r="42">
      <c r="B42" s="14"/>
      <c r="J42" s="14"/>
    </row>
    <row r="43">
      <c r="B43" s="14"/>
      <c r="J43" s="14"/>
    </row>
    <row r="44">
      <c r="B44" s="14"/>
      <c r="J44" s="14"/>
    </row>
    <row r="45">
      <c r="B45" s="14"/>
      <c r="J45" s="14"/>
    </row>
    <row r="46">
      <c r="B46" s="14"/>
      <c r="J46" s="14"/>
    </row>
    <row r="47">
      <c r="B47" s="14"/>
      <c r="J47" s="14"/>
    </row>
    <row r="48">
      <c r="B48" s="14"/>
      <c r="J48" s="14"/>
    </row>
    <row r="49">
      <c r="B49" s="14"/>
      <c r="J49" s="14"/>
    </row>
    <row r="50">
      <c r="B50" s="14"/>
      <c r="J50" s="14"/>
    </row>
    <row r="51">
      <c r="B51" s="14"/>
      <c r="J51" s="14"/>
    </row>
    <row r="52">
      <c r="B52" s="14"/>
      <c r="J52" s="14"/>
    </row>
    <row r="53">
      <c r="B53" s="14"/>
      <c r="J53" s="14"/>
    </row>
    <row r="54">
      <c r="B54" s="14"/>
      <c r="J54" s="14"/>
    </row>
    <row r="55">
      <c r="B55" s="14"/>
      <c r="J55" s="14"/>
    </row>
    <row r="56">
      <c r="B56" s="14"/>
      <c r="J56" s="14"/>
    </row>
    <row r="57">
      <c r="B57" s="14"/>
      <c r="J57" s="14"/>
    </row>
    <row r="58">
      <c r="B58" s="14"/>
      <c r="J58" s="14"/>
    </row>
    <row r="59">
      <c r="B59" s="14"/>
      <c r="J59" s="14"/>
    </row>
    <row r="60">
      <c r="B60" s="14"/>
      <c r="J60" s="14"/>
    </row>
    <row r="61">
      <c r="B61" s="14"/>
      <c r="J61" s="14"/>
    </row>
    <row r="62">
      <c r="B62" s="14"/>
      <c r="J62" s="14"/>
    </row>
    <row r="63">
      <c r="B63" s="14"/>
      <c r="J63" s="14"/>
    </row>
    <row r="64">
      <c r="B64" s="14"/>
      <c r="J64" s="14"/>
    </row>
    <row r="65">
      <c r="B65" s="14"/>
      <c r="J65" s="14"/>
    </row>
    <row r="66">
      <c r="B66" s="14"/>
      <c r="J66" s="14"/>
    </row>
    <row r="67">
      <c r="B67" s="14"/>
      <c r="J67" s="14"/>
    </row>
    <row r="68">
      <c r="B68" s="14"/>
      <c r="J68" s="14"/>
    </row>
    <row r="69">
      <c r="B69" s="14"/>
      <c r="J69" s="14"/>
    </row>
    <row r="70">
      <c r="B70" s="14"/>
      <c r="J70" s="14"/>
    </row>
    <row r="71">
      <c r="B71" s="14"/>
      <c r="J71" s="14"/>
    </row>
    <row r="72">
      <c r="B72" s="14"/>
      <c r="J72" s="14"/>
    </row>
    <row r="73">
      <c r="B73" s="14"/>
      <c r="J73" s="14"/>
    </row>
    <row r="74">
      <c r="B74" s="14"/>
      <c r="J74" s="14"/>
    </row>
    <row r="75">
      <c r="B75" s="14"/>
      <c r="J75" s="14"/>
    </row>
    <row r="76">
      <c r="B76" s="14"/>
      <c r="J76" s="14"/>
    </row>
    <row r="77">
      <c r="B77" s="14"/>
      <c r="J77" s="14"/>
    </row>
    <row r="78">
      <c r="B78" s="14"/>
      <c r="J78" s="14"/>
    </row>
    <row r="79">
      <c r="B79" s="14"/>
      <c r="J79" s="14"/>
    </row>
    <row r="80">
      <c r="B80" s="14"/>
      <c r="J80" s="14"/>
    </row>
    <row r="81">
      <c r="B81" s="14"/>
      <c r="J81" s="14"/>
    </row>
    <row r="82">
      <c r="B82" s="14"/>
      <c r="J82" s="14"/>
    </row>
    <row r="83">
      <c r="B83" s="14"/>
      <c r="J83" s="14"/>
    </row>
    <row r="84">
      <c r="B84" s="14"/>
      <c r="J84" s="14"/>
    </row>
    <row r="85">
      <c r="B85" s="14"/>
      <c r="J85" s="14"/>
    </row>
    <row r="86">
      <c r="B86" s="14"/>
      <c r="J86" s="14"/>
    </row>
    <row r="87">
      <c r="B87" s="14"/>
      <c r="J87" s="14"/>
    </row>
    <row r="88">
      <c r="B88" s="14"/>
      <c r="J88" s="14"/>
    </row>
    <row r="89">
      <c r="B89" s="14"/>
      <c r="J89" s="14"/>
    </row>
    <row r="90">
      <c r="B90" s="14"/>
      <c r="J90" s="14"/>
    </row>
    <row r="91">
      <c r="B91" s="14"/>
      <c r="J91" s="14"/>
    </row>
    <row r="92">
      <c r="B92" s="14"/>
      <c r="J92" s="14"/>
    </row>
    <row r="93">
      <c r="B93" s="14"/>
      <c r="J93" s="14"/>
    </row>
    <row r="94">
      <c r="B94" s="14"/>
      <c r="J94" s="14"/>
    </row>
    <row r="95">
      <c r="B95" s="14"/>
      <c r="J95" s="14"/>
    </row>
    <row r="96">
      <c r="B96" s="14"/>
      <c r="J96" s="14"/>
    </row>
    <row r="97">
      <c r="B97" s="14"/>
      <c r="J97" s="14"/>
    </row>
    <row r="98">
      <c r="B98" s="14"/>
      <c r="J98" s="14"/>
    </row>
    <row r="99">
      <c r="B99" s="14"/>
      <c r="J99" s="14"/>
    </row>
    <row r="100">
      <c r="B100" s="14"/>
      <c r="J100" s="14"/>
    </row>
    <row r="101">
      <c r="B101" s="14"/>
      <c r="J101" s="14"/>
    </row>
    <row r="102">
      <c r="B102" s="14"/>
      <c r="J102" s="14"/>
    </row>
    <row r="103">
      <c r="B103" s="14"/>
      <c r="J103" s="14"/>
    </row>
    <row r="104">
      <c r="B104" s="14"/>
      <c r="J104" s="14"/>
    </row>
    <row r="105">
      <c r="B105" s="14"/>
      <c r="J105" s="14"/>
    </row>
    <row r="106">
      <c r="B106" s="14"/>
      <c r="J106" s="14"/>
    </row>
    <row r="107">
      <c r="B107" s="14"/>
      <c r="J107" s="14"/>
    </row>
    <row r="108">
      <c r="B108" s="14"/>
      <c r="J108" s="14"/>
    </row>
    <row r="109">
      <c r="B109" s="14"/>
      <c r="J109" s="14"/>
    </row>
    <row r="110">
      <c r="B110" s="14"/>
      <c r="J110" s="14"/>
    </row>
    <row r="111">
      <c r="B111" s="14"/>
      <c r="J111" s="14"/>
    </row>
    <row r="112">
      <c r="B112" s="14"/>
      <c r="J112" s="14"/>
    </row>
    <row r="113">
      <c r="B113" s="14"/>
      <c r="J113" s="14"/>
    </row>
    <row r="114">
      <c r="B114" s="14"/>
      <c r="J114" s="14"/>
    </row>
    <row r="115">
      <c r="B115" s="14"/>
      <c r="J115" s="14"/>
    </row>
    <row r="116">
      <c r="B116" s="14"/>
      <c r="J116" s="14"/>
    </row>
    <row r="117">
      <c r="B117" s="14"/>
      <c r="J117" s="14"/>
    </row>
    <row r="118">
      <c r="B118" s="14"/>
      <c r="J118" s="14"/>
    </row>
    <row r="119">
      <c r="B119" s="14"/>
      <c r="J119" s="14"/>
    </row>
    <row r="120">
      <c r="B120" s="14"/>
      <c r="J120" s="14"/>
    </row>
    <row r="121">
      <c r="B121" s="14"/>
      <c r="J121" s="14"/>
    </row>
    <row r="122">
      <c r="B122" s="14"/>
      <c r="J122" s="14"/>
    </row>
    <row r="123">
      <c r="B123" s="14"/>
      <c r="J123" s="14"/>
    </row>
    <row r="124">
      <c r="B124" s="14"/>
      <c r="J124" s="14"/>
    </row>
    <row r="125">
      <c r="B125" s="14"/>
      <c r="J125" s="14"/>
    </row>
    <row r="126">
      <c r="B126" s="14"/>
      <c r="J126" s="14"/>
    </row>
    <row r="127">
      <c r="B127" s="14"/>
      <c r="J127" s="14"/>
    </row>
    <row r="128">
      <c r="B128" s="14"/>
      <c r="J128" s="14"/>
    </row>
    <row r="129">
      <c r="B129" s="14"/>
      <c r="J129" s="14"/>
    </row>
    <row r="130">
      <c r="B130" s="14"/>
      <c r="J130" s="14"/>
    </row>
    <row r="131">
      <c r="B131" s="14"/>
      <c r="J131" s="14"/>
    </row>
    <row r="132">
      <c r="B132" s="14"/>
      <c r="J132" s="14"/>
    </row>
    <row r="133">
      <c r="B133" s="14"/>
      <c r="J133" s="14"/>
    </row>
    <row r="134">
      <c r="B134" s="14"/>
      <c r="J134" s="14"/>
    </row>
    <row r="135">
      <c r="B135" s="14"/>
      <c r="J135" s="14"/>
    </row>
    <row r="136">
      <c r="B136" s="14"/>
      <c r="J136" s="14"/>
    </row>
    <row r="137">
      <c r="B137" s="14"/>
      <c r="J137" s="14"/>
    </row>
    <row r="138">
      <c r="B138" s="14"/>
      <c r="J138" s="14"/>
    </row>
    <row r="139">
      <c r="B139" s="14"/>
      <c r="J139" s="14"/>
    </row>
    <row r="140">
      <c r="B140" s="14"/>
      <c r="J140" s="14"/>
    </row>
    <row r="141">
      <c r="B141" s="14"/>
      <c r="J141" s="14"/>
    </row>
    <row r="142">
      <c r="B142" s="14"/>
      <c r="J142" s="14"/>
    </row>
    <row r="143">
      <c r="B143" s="14"/>
      <c r="J143" s="14"/>
    </row>
    <row r="144">
      <c r="B144" s="14"/>
      <c r="J144" s="14"/>
    </row>
    <row r="145">
      <c r="B145" s="14"/>
      <c r="J145" s="14"/>
    </row>
    <row r="146">
      <c r="B146" s="14"/>
      <c r="J146" s="14"/>
    </row>
    <row r="147">
      <c r="B147" s="14"/>
      <c r="J147" s="14"/>
    </row>
    <row r="148">
      <c r="B148" s="14"/>
      <c r="J148" s="14"/>
    </row>
    <row r="149">
      <c r="B149" s="14"/>
      <c r="J149" s="14"/>
    </row>
    <row r="150">
      <c r="B150" s="14"/>
      <c r="J150" s="14"/>
    </row>
    <row r="151">
      <c r="B151" s="14"/>
      <c r="J151" s="14"/>
    </row>
    <row r="152">
      <c r="B152" s="14"/>
      <c r="J152" s="14"/>
    </row>
    <row r="153">
      <c r="B153" s="14"/>
      <c r="J153" s="14"/>
    </row>
    <row r="154">
      <c r="B154" s="14"/>
      <c r="J154" s="14"/>
    </row>
    <row r="155">
      <c r="B155" s="14"/>
      <c r="J155" s="14"/>
    </row>
    <row r="156">
      <c r="B156" s="14"/>
      <c r="J156" s="14"/>
    </row>
    <row r="157">
      <c r="B157" s="14"/>
      <c r="J157" s="14"/>
    </row>
    <row r="158">
      <c r="B158" s="14"/>
      <c r="J158" s="14"/>
    </row>
    <row r="159">
      <c r="B159" s="14"/>
      <c r="J159" s="14"/>
    </row>
    <row r="160">
      <c r="B160" s="14"/>
      <c r="J160" s="14"/>
    </row>
    <row r="161">
      <c r="B161" s="14"/>
      <c r="J161" s="14"/>
    </row>
    <row r="162">
      <c r="B162" s="14"/>
      <c r="J162" s="14"/>
    </row>
    <row r="163">
      <c r="B163" s="14"/>
      <c r="J163" s="14"/>
    </row>
    <row r="164">
      <c r="B164" s="14"/>
      <c r="J164" s="14"/>
    </row>
    <row r="165">
      <c r="B165" s="14"/>
      <c r="J165" s="14"/>
    </row>
    <row r="166">
      <c r="B166" s="14"/>
      <c r="J166" s="14"/>
    </row>
    <row r="167">
      <c r="B167" s="14"/>
      <c r="J167" s="14"/>
    </row>
    <row r="168">
      <c r="B168" s="14"/>
      <c r="J168" s="14"/>
    </row>
    <row r="169">
      <c r="B169" s="14"/>
      <c r="J169" s="14"/>
    </row>
    <row r="170">
      <c r="B170" s="14"/>
      <c r="J170" s="14"/>
    </row>
    <row r="171">
      <c r="B171" s="14"/>
      <c r="J171" s="14"/>
    </row>
    <row r="172">
      <c r="B172" s="14"/>
      <c r="J172" s="14"/>
    </row>
    <row r="173">
      <c r="B173" s="14"/>
      <c r="J173" s="14"/>
    </row>
    <row r="174">
      <c r="B174" s="14"/>
      <c r="J174" s="14"/>
    </row>
    <row r="175">
      <c r="B175" s="14"/>
      <c r="J175" s="14"/>
    </row>
    <row r="176">
      <c r="B176" s="14"/>
      <c r="J176" s="14"/>
    </row>
    <row r="177">
      <c r="B177" s="14"/>
      <c r="J177" s="14"/>
    </row>
    <row r="178">
      <c r="B178" s="14"/>
      <c r="J178" s="14"/>
    </row>
    <row r="179">
      <c r="B179" s="14"/>
      <c r="J179" s="14"/>
    </row>
    <row r="180">
      <c r="B180" s="14"/>
      <c r="J180" s="14"/>
    </row>
    <row r="181">
      <c r="B181" s="14"/>
      <c r="J181" s="14"/>
    </row>
    <row r="182">
      <c r="B182" s="14"/>
      <c r="J182" s="14"/>
    </row>
    <row r="183">
      <c r="B183" s="14"/>
      <c r="J183" s="14"/>
    </row>
    <row r="184">
      <c r="B184" s="14"/>
      <c r="J184" s="14"/>
    </row>
    <row r="185">
      <c r="B185" s="14"/>
      <c r="J185" s="14"/>
    </row>
    <row r="186">
      <c r="B186" s="14"/>
      <c r="J186" s="14"/>
    </row>
    <row r="187">
      <c r="B187" s="14"/>
      <c r="J187" s="14"/>
    </row>
    <row r="188">
      <c r="B188" s="14"/>
      <c r="J188" s="14"/>
    </row>
    <row r="189">
      <c r="B189" s="14"/>
      <c r="J189" s="14"/>
    </row>
    <row r="190">
      <c r="B190" s="14"/>
      <c r="J190" s="14"/>
    </row>
    <row r="191">
      <c r="B191" s="14"/>
      <c r="J191" s="14"/>
    </row>
    <row r="192">
      <c r="B192" s="14"/>
      <c r="J192" s="14"/>
    </row>
    <row r="193">
      <c r="B193" s="14"/>
      <c r="J193" s="14"/>
    </row>
    <row r="194">
      <c r="B194" s="14"/>
      <c r="J194" s="14"/>
    </row>
    <row r="195">
      <c r="B195" s="14"/>
      <c r="J195" s="14"/>
    </row>
    <row r="196">
      <c r="B196" s="14"/>
      <c r="J196" s="14"/>
    </row>
    <row r="197">
      <c r="B197" s="14"/>
      <c r="J197" s="14"/>
    </row>
    <row r="198">
      <c r="B198" s="14"/>
      <c r="J198" s="14"/>
    </row>
    <row r="199">
      <c r="B199" s="14"/>
      <c r="J199" s="14"/>
    </row>
    <row r="200">
      <c r="B200" s="14"/>
      <c r="J200" s="14"/>
    </row>
    <row r="201">
      <c r="B201" s="14"/>
      <c r="J201" s="14"/>
    </row>
    <row r="202">
      <c r="B202" s="14"/>
      <c r="J202" s="14"/>
    </row>
    <row r="203">
      <c r="B203" s="14"/>
      <c r="J203" s="14"/>
    </row>
    <row r="204">
      <c r="B204" s="14"/>
      <c r="J204" s="14"/>
    </row>
    <row r="205">
      <c r="B205" s="14"/>
      <c r="J205" s="14"/>
    </row>
    <row r="206">
      <c r="B206" s="14"/>
      <c r="J206" s="14"/>
    </row>
    <row r="207">
      <c r="B207" s="14"/>
      <c r="J207" s="14"/>
    </row>
    <row r="208">
      <c r="B208" s="14"/>
      <c r="J208" s="14"/>
    </row>
    <row r="209">
      <c r="B209" s="14"/>
      <c r="J209" s="14"/>
    </row>
    <row r="210">
      <c r="B210" s="14"/>
      <c r="J210" s="14"/>
    </row>
    <row r="211">
      <c r="B211" s="14"/>
      <c r="J211" s="14"/>
    </row>
    <row r="212">
      <c r="B212" s="14"/>
      <c r="J212" s="14"/>
    </row>
    <row r="213">
      <c r="B213" s="14"/>
      <c r="J213" s="14"/>
    </row>
    <row r="214">
      <c r="B214" s="14"/>
      <c r="J214" s="14"/>
    </row>
    <row r="215">
      <c r="B215" s="14"/>
      <c r="J215" s="14"/>
    </row>
    <row r="216">
      <c r="B216" s="14"/>
      <c r="J216" s="14"/>
    </row>
    <row r="217">
      <c r="B217" s="14"/>
      <c r="J217" s="14"/>
    </row>
    <row r="218">
      <c r="B218" s="14"/>
      <c r="J218" s="14"/>
    </row>
    <row r="219">
      <c r="B219" s="14"/>
      <c r="J219" s="14"/>
    </row>
    <row r="220">
      <c r="B220" s="14"/>
      <c r="J220" s="14"/>
    </row>
    <row r="221">
      <c r="B221" s="14"/>
      <c r="J221" s="14"/>
    </row>
    <row r="222">
      <c r="B222" s="14"/>
      <c r="J222" s="14"/>
    </row>
    <row r="223">
      <c r="B223" s="14"/>
      <c r="J223" s="14"/>
    </row>
    <row r="224">
      <c r="B224" s="14"/>
      <c r="J224" s="14"/>
    </row>
    <row r="225">
      <c r="B225" s="14"/>
      <c r="J225" s="14"/>
    </row>
    <row r="226">
      <c r="B226" s="14"/>
      <c r="J226" s="14"/>
    </row>
    <row r="227">
      <c r="B227" s="14"/>
      <c r="J227" s="14"/>
    </row>
    <row r="228">
      <c r="B228" s="14"/>
      <c r="J228" s="14"/>
    </row>
    <row r="229">
      <c r="B229" s="14"/>
      <c r="J229" s="14"/>
    </row>
    <row r="230">
      <c r="B230" s="14"/>
      <c r="J230" s="14"/>
    </row>
    <row r="231">
      <c r="B231" s="14"/>
      <c r="J231" s="14"/>
    </row>
    <row r="232">
      <c r="B232" s="14"/>
      <c r="J232" s="14"/>
    </row>
    <row r="233">
      <c r="B233" s="14"/>
      <c r="J233" s="14"/>
    </row>
    <row r="234">
      <c r="B234" s="14"/>
      <c r="J234" s="14"/>
    </row>
    <row r="235">
      <c r="B235" s="14"/>
      <c r="J235" s="14"/>
    </row>
    <row r="236">
      <c r="B236" s="14"/>
      <c r="J236" s="14"/>
    </row>
    <row r="237">
      <c r="B237" s="14"/>
      <c r="J237" s="14"/>
    </row>
    <row r="238">
      <c r="B238" s="14"/>
      <c r="J238" s="14"/>
    </row>
    <row r="239">
      <c r="B239" s="14"/>
      <c r="J239" s="14"/>
    </row>
    <row r="240">
      <c r="B240" s="14"/>
      <c r="J240" s="14"/>
    </row>
    <row r="241">
      <c r="B241" s="14"/>
      <c r="J241" s="14"/>
    </row>
    <row r="242">
      <c r="B242" s="14"/>
      <c r="J242" s="14"/>
    </row>
    <row r="243">
      <c r="B243" s="14"/>
      <c r="J243" s="14"/>
    </row>
    <row r="244">
      <c r="B244" s="14"/>
      <c r="J244" s="14"/>
    </row>
    <row r="245">
      <c r="B245" s="14"/>
      <c r="J245" s="14"/>
    </row>
    <row r="246">
      <c r="B246" s="14"/>
      <c r="J246" s="14"/>
    </row>
    <row r="247">
      <c r="B247" s="14"/>
      <c r="J247" s="14"/>
    </row>
    <row r="248">
      <c r="B248" s="14"/>
      <c r="J248" s="14"/>
    </row>
    <row r="249">
      <c r="B249" s="14"/>
      <c r="J249" s="14"/>
    </row>
    <row r="250">
      <c r="B250" s="14"/>
      <c r="J250" s="14"/>
    </row>
    <row r="251">
      <c r="B251" s="14"/>
      <c r="J251" s="14"/>
    </row>
    <row r="252">
      <c r="B252" s="14"/>
      <c r="J252" s="14"/>
    </row>
    <row r="253">
      <c r="B253" s="14"/>
      <c r="J253" s="14"/>
    </row>
    <row r="254">
      <c r="B254" s="14"/>
      <c r="J254" s="14"/>
    </row>
    <row r="255">
      <c r="B255" s="14"/>
      <c r="J255" s="14"/>
    </row>
    <row r="256">
      <c r="B256" s="14"/>
      <c r="J256" s="14"/>
    </row>
    <row r="257">
      <c r="B257" s="14"/>
      <c r="J257" s="14"/>
    </row>
    <row r="258">
      <c r="B258" s="14"/>
      <c r="J258" s="14"/>
    </row>
    <row r="259">
      <c r="B259" s="14"/>
      <c r="J259" s="14"/>
    </row>
    <row r="260">
      <c r="B260" s="14"/>
      <c r="J260" s="14"/>
    </row>
    <row r="261">
      <c r="B261" s="14"/>
      <c r="J261" s="14"/>
    </row>
    <row r="262">
      <c r="B262" s="14"/>
      <c r="J262" s="14"/>
    </row>
    <row r="263">
      <c r="B263" s="14"/>
      <c r="J263" s="14"/>
    </row>
    <row r="264">
      <c r="B264" s="14"/>
      <c r="J264" s="14"/>
    </row>
    <row r="265">
      <c r="B265" s="14"/>
      <c r="J265" s="14"/>
    </row>
    <row r="266">
      <c r="B266" s="14"/>
      <c r="J266" s="14"/>
    </row>
    <row r="267">
      <c r="B267" s="14"/>
      <c r="J267" s="14"/>
    </row>
    <row r="268">
      <c r="B268" s="14"/>
      <c r="J268" s="14"/>
    </row>
    <row r="269">
      <c r="B269" s="14"/>
      <c r="J269" s="14"/>
    </row>
    <row r="270">
      <c r="B270" s="14"/>
      <c r="J270" s="14"/>
    </row>
    <row r="271">
      <c r="B271" s="14"/>
      <c r="J271" s="14"/>
    </row>
    <row r="272">
      <c r="B272" s="14"/>
      <c r="J272" s="14"/>
    </row>
    <row r="273">
      <c r="B273" s="14"/>
      <c r="J273" s="14"/>
    </row>
    <row r="274">
      <c r="B274" s="14"/>
      <c r="J274" s="14"/>
    </row>
    <row r="275">
      <c r="B275" s="14"/>
      <c r="J275" s="14"/>
    </row>
    <row r="276">
      <c r="B276" s="14"/>
      <c r="J276" s="14"/>
    </row>
    <row r="277">
      <c r="B277" s="14"/>
      <c r="J277" s="14"/>
    </row>
    <row r="278">
      <c r="B278" s="14"/>
      <c r="J278" s="14"/>
    </row>
    <row r="279">
      <c r="B279" s="14"/>
      <c r="J279" s="14"/>
    </row>
    <row r="280">
      <c r="B280" s="14"/>
      <c r="J280" s="14"/>
    </row>
    <row r="281">
      <c r="B281" s="14"/>
      <c r="J281" s="14"/>
    </row>
    <row r="282">
      <c r="B282" s="14"/>
      <c r="J282" s="14"/>
    </row>
    <row r="283">
      <c r="B283" s="14"/>
      <c r="J283" s="14"/>
    </row>
    <row r="284">
      <c r="B284" s="14"/>
      <c r="J284" s="14"/>
    </row>
    <row r="285">
      <c r="B285" s="14"/>
      <c r="J285" s="14"/>
    </row>
    <row r="286">
      <c r="B286" s="14"/>
      <c r="J286" s="14"/>
    </row>
    <row r="287">
      <c r="B287" s="14"/>
      <c r="J287" s="14"/>
    </row>
    <row r="288">
      <c r="B288" s="14"/>
      <c r="J288" s="14"/>
    </row>
    <row r="289">
      <c r="B289" s="14"/>
      <c r="J289" s="14"/>
    </row>
    <row r="290">
      <c r="B290" s="14"/>
      <c r="J290" s="14"/>
    </row>
    <row r="291">
      <c r="B291" s="14"/>
      <c r="J291" s="14"/>
    </row>
    <row r="292">
      <c r="B292" s="14"/>
      <c r="J292" s="14"/>
    </row>
    <row r="293">
      <c r="B293" s="14"/>
      <c r="J293" s="14"/>
    </row>
    <row r="294">
      <c r="B294" s="14"/>
      <c r="J294" s="14"/>
    </row>
    <row r="295">
      <c r="B295" s="14"/>
      <c r="J295" s="14"/>
    </row>
    <row r="296">
      <c r="B296" s="14"/>
      <c r="J296" s="14"/>
    </row>
    <row r="297">
      <c r="B297" s="14"/>
      <c r="J297" s="14"/>
    </row>
    <row r="298">
      <c r="B298" s="14"/>
      <c r="J298" s="14"/>
    </row>
    <row r="299">
      <c r="B299" s="14"/>
      <c r="J299" s="14"/>
    </row>
    <row r="300">
      <c r="B300" s="14"/>
      <c r="J300" s="14"/>
    </row>
    <row r="301">
      <c r="B301" s="14"/>
      <c r="J301" s="14"/>
    </row>
    <row r="302">
      <c r="B302" s="14"/>
      <c r="J302" s="14"/>
    </row>
    <row r="303">
      <c r="B303" s="14"/>
      <c r="J303" s="14"/>
    </row>
    <row r="304">
      <c r="B304" s="14"/>
      <c r="J304" s="14"/>
    </row>
    <row r="305">
      <c r="B305" s="14"/>
      <c r="J305" s="14"/>
    </row>
    <row r="306">
      <c r="B306" s="14"/>
      <c r="J306" s="14"/>
    </row>
    <row r="307">
      <c r="B307" s="14"/>
      <c r="J307" s="14"/>
    </row>
    <row r="308">
      <c r="B308" s="14"/>
      <c r="J308" s="14"/>
    </row>
    <row r="309">
      <c r="B309" s="14"/>
      <c r="J309" s="14"/>
    </row>
    <row r="310">
      <c r="B310" s="14"/>
      <c r="J310" s="14"/>
    </row>
    <row r="311">
      <c r="B311" s="14"/>
      <c r="J311" s="14"/>
    </row>
    <row r="312">
      <c r="B312" s="14"/>
      <c r="J312" s="14"/>
    </row>
    <row r="313">
      <c r="B313" s="14"/>
      <c r="J313" s="14"/>
    </row>
    <row r="314">
      <c r="B314" s="14"/>
      <c r="J314" s="14"/>
    </row>
    <row r="315">
      <c r="B315" s="14"/>
      <c r="J315" s="14"/>
    </row>
    <row r="316">
      <c r="B316" s="14"/>
      <c r="J316" s="14"/>
    </row>
    <row r="317">
      <c r="B317" s="14"/>
      <c r="J317" s="14"/>
    </row>
    <row r="318">
      <c r="B318" s="14"/>
      <c r="J318" s="14"/>
    </row>
    <row r="319">
      <c r="B319" s="14"/>
      <c r="J319" s="14"/>
    </row>
    <row r="320">
      <c r="B320" s="14"/>
      <c r="J320" s="14"/>
    </row>
    <row r="321">
      <c r="B321" s="14"/>
      <c r="J321" s="14"/>
    </row>
    <row r="322">
      <c r="B322" s="14"/>
      <c r="J322" s="14"/>
    </row>
    <row r="323">
      <c r="B323" s="14"/>
      <c r="J323" s="14"/>
    </row>
    <row r="324">
      <c r="B324" s="14"/>
      <c r="J324" s="14"/>
    </row>
    <row r="325">
      <c r="B325" s="14"/>
      <c r="J325" s="14"/>
    </row>
    <row r="326">
      <c r="B326" s="14"/>
      <c r="J326" s="14"/>
    </row>
    <row r="327">
      <c r="B327" s="14"/>
      <c r="J327" s="14"/>
    </row>
    <row r="328">
      <c r="B328" s="14"/>
      <c r="J328" s="14"/>
    </row>
    <row r="329">
      <c r="B329" s="14"/>
      <c r="J329" s="14"/>
    </row>
    <row r="330">
      <c r="B330" s="14"/>
      <c r="J330" s="14"/>
    </row>
    <row r="331">
      <c r="B331" s="14"/>
      <c r="J331" s="14"/>
    </row>
    <row r="332">
      <c r="B332" s="14"/>
      <c r="J332" s="14"/>
    </row>
    <row r="333">
      <c r="B333" s="14"/>
      <c r="J333" s="14"/>
    </row>
    <row r="334">
      <c r="B334" s="14"/>
      <c r="J334" s="14"/>
    </row>
    <row r="335">
      <c r="B335" s="14"/>
      <c r="J335" s="14"/>
    </row>
    <row r="336">
      <c r="B336" s="14"/>
      <c r="J336" s="14"/>
    </row>
    <row r="337">
      <c r="B337" s="14"/>
      <c r="J337" s="14"/>
    </row>
    <row r="338">
      <c r="B338" s="14"/>
      <c r="J338" s="14"/>
    </row>
    <row r="339">
      <c r="B339" s="14"/>
      <c r="J339" s="14"/>
    </row>
    <row r="340">
      <c r="B340" s="14"/>
      <c r="J340" s="14"/>
    </row>
    <row r="341">
      <c r="B341" s="14"/>
      <c r="J341" s="14"/>
    </row>
    <row r="342">
      <c r="B342" s="14"/>
      <c r="J342" s="14"/>
    </row>
    <row r="343">
      <c r="B343" s="14"/>
      <c r="J343" s="14"/>
    </row>
    <row r="344">
      <c r="B344" s="14"/>
      <c r="J344" s="14"/>
    </row>
    <row r="345">
      <c r="B345" s="14"/>
      <c r="J345" s="14"/>
    </row>
    <row r="346">
      <c r="B346" s="14"/>
      <c r="J346" s="14"/>
    </row>
    <row r="347">
      <c r="B347" s="14"/>
      <c r="J347" s="14"/>
    </row>
    <row r="348">
      <c r="B348" s="14"/>
      <c r="J348" s="14"/>
    </row>
    <row r="349">
      <c r="B349" s="14"/>
      <c r="J349" s="14"/>
    </row>
    <row r="350">
      <c r="B350" s="14"/>
      <c r="J350" s="14"/>
    </row>
    <row r="351">
      <c r="B351" s="14"/>
      <c r="J351" s="14"/>
    </row>
    <row r="352">
      <c r="B352" s="14"/>
      <c r="J352" s="14"/>
    </row>
    <row r="353">
      <c r="B353" s="14"/>
      <c r="J353" s="14"/>
    </row>
    <row r="354">
      <c r="B354" s="14"/>
      <c r="J354" s="14"/>
    </row>
    <row r="355">
      <c r="B355" s="14"/>
      <c r="J355" s="14"/>
    </row>
    <row r="356">
      <c r="B356" s="14"/>
      <c r="J356" s="14"/>
    </row>
    <row r="357">
      <c r="B357" s="14"/>
      <c r="J357" s="14"/>
    </row>
    <row r="358">
      <c r="B358" s="14"/>
      <c r="J358" s="14"/>
    </row>
    <row r="359">
      <c r="B359" s="14"/>
      <c r="J359" s="14"/>
    </row>
    <row r="360">
      <c r="B360" s="14"/>
      <c r="J360" s="14"/>
    </row>
    <row r="361">
      <c r="B361" s="14"/>
      <c r="J361" s="14"/>
    </row>
    <row r="362">
      <c r="B362" s="14"/>
      <c r="J362" s="14"/>
    </row>
    <row r="363">
      <c r="B363" s="14"/>
      <c r="J363" s="14"/>
    </row>
    <row r="364">
      <c r="B364" s="14"/>
      <c r="J364" s="14"/>
    </row>
    <row r="365">
      <c r="B365" s="14"/>
      <c r="J365" s="14"/>
    </row>
    <row r="366">
      <c r="B366" s="14"/>
      <c r="J366" s="14"/>
    </row>
    <row r="367">
      <c r="B367" s="14"/>
      <c r="J367" s="14"/>
    </row>
    <row r="368">
      <c r="B368" s="14"/>
      <c r="J368" s="14"/>
    </row>
    <row r="369">
      <c r="B369" s="14"/>
      <c r="J369" s="14"/>
    </row>
    <row r="370">
      <c r="B370" s="14"/>
      <c r="J370" s="14"/>
    </row>
    <row r="371">
      <c r="B371" s="14"/>
      <c r="J371" s="14"/>
    </row>
    <row r="372">
      <c r="B372" s="14"/>
      <c r="J372" s="14"/>
    </row>
    <row r="373">
      <c r="B373" s="14"/>
      <c r="J373" s="14"/>
    </row>
    <row r="374">
      <c r="B374" s="14"/>
      <c r="J374" s="14"/>
    </row>
    <row r="375">
      <c r="B375" s="14"/>
      <c r="J375" s="14"/>
    </row>
    <row r="376">
      <c r="B376" s="14"/>
      <c r="J376" s="14"/>
    </row>
    <row r="377">
      <c r="B377" s="14"/>
      <c r="J377" s="14"/>
    </row>
    <row r="378">
      <c r="B378" s="14"/>
      <c r="J378" s="14"/>
    </row>
    <row r="379">
      <c r="B379" s="14"/>
      <c r="J379" s="14"/>
    </row>
    <row r="380">
      <c r="B380" s="14"/>
      <c r="J380" s="14"/>
    </row>
    <row r="381">
      <c r="B381" s="14"/>
      <c r="J381" s="14"/>
    </row>
    <row r="382">
      <c r="B382" s="14"/>
      <c r="J382" s="14"/>
    </row>
    <row r="383">
      <c r="B383" s="14"/>
      <c r="J383" s="14"/>
    </row>
    <row r="384">
      <c r="B384" s="14"/>
      <c r="J384" s="14"/>
    </row>
    <row r="385">
      <c r="B385" s="14"/>
      <c r="J385" s="14"/>
    </row>
    <row r="386">
      <c r="B386" s="14"/>
      <c r="J386" s="14"/>
    </row>
    <row r="387">
      <c r="B387" s="14"/>
      <c r="J387" s="14"/>
    </row>
    <row r="388">
      <c r="B388" s="14"/>
      <c r="J388" s="14"/>
    </row>
    <row r="389">
      <c r="B389" s="14"/>
      <c r="J389" s="14"/>
    </row>
    <row r="390">
      <c r="B390" s="14"/>
      <c r="J390" s="14"/>
    </row>
    <row r="391">
      <c r="B391" s="14"/>
      <c r="J391" s="14"/>
    </row>
    <row r="392">
      <c r="B392" s="14"/>
      <c r="J392" s="14"/>
    </row>
    <row r="393">
      <c r="B393" s="14"/>
      <c r="J393" s="14"/>
    </row>
    <row r="394">
      <c r="B394" s="14"/>
      <c r="J394" s="14"/>
    </row>
    <row r="395">
      <c r="B395" s="14"/>
      <c r="J395" s="14"/>
    </row>
    <row r="396">
      <c r="B396" s="14"/>
      <c r="J396" s="14"/>
    </row>
    <row r="397">
      <c r="B397" s="14"/>
      <c r="J397" s="14"/>
    </row>
    <row r="398">
      <c r="B398" s="14"/>
      <c r="J398" s="14"/>
    </row>
    <row r="399">
      <c r="B399" s="14"/>
      <c r="J399" s="14"/>
    </row>
    <row r="400">
      <c r="B400" s="14"/>
      <c r="J400" s="14"/>
    </row>
    <row r="401">
      <c r="B401" s="14"/>
      <c r="J401" s="14"/>
    </row>
    <row r="402">
      <c r="B402" s="14"/>
      <c r="J402" s="14"/>
    </row>
    <row r="403">
      <c r="B403" s="14"/>
      <c r="J403" s="14"/>
    </row>
    <row r="404">
      <c r="B404" s="14"/>
      <c r="J404" s="14"/>
    </row>
    <row r="405">
      <c r="B405" s="14"/>
      <c r="J405" s="14"/>
    </row>
    <row r="406">
      <c r="B406" s="14"/>
      <c r="J406" s="14"/>
    </row>
    <row r="407">
      <c r="B407" s="14"/>
      <c r="J407" s="14"/>
    </row>
    <row r="408">
      <c r="B408" s="14"/>
      <c r="J408" s="14"/>
    </row>
    <row r="409">
      <c r="B409" s="14"/>
      <c r="J409" s="14"/>
    </row>
    <row r="410">
      <c r="B410" s="14"/>
      <c r="J410" s="14"/>
    </row>
    <row r="411">
      <c r="B411" s="14"/>
      <c r="J411" s="14"/>
    </row>
    <row r="412">
      <c r="B412" s="14"/>
      <c r="J412" s="14"/>
    </row>
    <row r="413">
      <c r="B413" s="14"/>
      <c r="J413" s="14"/>
    </row>
    <row r="414">
      <c r="B414" s="14"/>
      <c r="J414" s="14"/>
    </row>
    <row r="415">
      <c r="B415" s="14"/>
      <c r="J415" s="14"/>
    </row>
    <row r="416">
      <c r="B416" s="14"/>
      <c r="J416" s="14"/>
    </row>
    <row r="417">
      <c r="B417" s="14"/>
      <c r="J417" s="14"/>
    </row>
    <row r="418">
      <c r="B418" s="14"/>
      <c r="J418" s="14"/>
    </row>
    <row r="419">
      <c r="B419" s="14"/>
      <c r="J419" s="14"/>
    </row>
    <row r="420">
      <c r="B420" s="14"/>
      <c r="J420" s="14"/>
    </row>
    <row r="421">
      <c r="B421" s="14"/>
      <c r="J421" s="14"/>
    </row>
    <row r="422">
      <c r="B422" s="14"/>
      <c r="J422" s="14"/>
    </row>
    <row r="423">
      <c r="B423" s="14"/>
      <c r="J423" s="14"/>
    </row>
    <row r="424">
      <c r="B424" s="14"/>
      <c r="J424" s="14"/>
    </row>
    <row r="425">
      <c r="B425" s="14"/>
      <c r="J425" s="14"/>
    </row>
    <row r="426">
      <c r="B426" s="14"/>
      <c r="J426" s="14"/>
    </row>
    <row r="427">
      <c r="B427" s="14"/>
      <c r="J427" s="14"/>
    </row>
    <row r="428">
      <c r="B428" s="14"/>
      <c r="J428" s="14"/>
    </row>
    <row r="429">
      <c r="B429" s="14"/>
      <c r="J429" s="14"/>
    </row>
    <row r="430">
      <c r="B430" s="14"/>
      <c r="J430" s="14"/>
    </row>
    <row r="431">
      <c r="B431" s="14"/>
      <c r="J431" s="14"/>
    </row>
    <row r="432">
      <c r="B432" s="14"/>
      <c r="J432" s="14"/>
    </row>
    <row r="433">
      <c r="B433" s="14"/>
      <c r="J433" s="14"/>
    </row>
    <row r="434">
      <c r="B434" s="14"/>
      <c r="J434" s="14"/>
    </row>
    <row r="435">
      <c r="B435" s="14"/>
      <c r="J435" s="14"/>
    </row>
    <row r="436">
      <c r="B436" s="14"/>
      <c r="J436" s="14"/>
    </row>
    <row r="437">
      <c r="B437" s="14"/>
      <c r="J437" s="14"/>
    </row>
    <row r="438">
      <c r="B438" s="14"/>
      <c r="J438" s="14"/>
    </row>
    <row r="439">
      <c r="B439" s="14"/>
      <c r="J439" s="14"/>
    </row>
    <row r="440">
      <c r="B440" s="14"/>
      <c r="J440" s="14"/>
    </row>
    <row r="441">
      <c r="B441" s="14"/>
      <c r="J441" s="14"/>
    </row>
    <row r="442">
      <c r="B442" s="14"/>
      <c r="J442" s="14"/>
    </row>
    <row r="443">
      <c r="B443" s="14"/>
      <c r="J443" s="14"/>
    </row>
    <row r="444">
      <c r="B444" s="14"/>
      <c r="J444" s="14"/>
    </row>
    <row r="445">
      <c r="B445" s="14"/>
      <c r="J445" s="14"/>
    </row>
    <row r="446">
      <c r="B446" s="14"/>
      <c r="J446" s="14"/>
    </row>
    <row r="447">
      <c r="B447" s="14"/>
      <c r="J447" s="14"/>
    </row>
    <row r="448">
      <c r="B448" s="14"/>
      <c r="J448" s="14"/>
    </row>
    <row r="449">
      <c r="B449" s="14"/>
      <c r="J449" s="14"/>
    </row>
    <row r="450">
      <c r="B450" s="14"/>
      <c r="J450" s="14"/>
    </row>
    <row r="451">
      <c r="B451" s="14"/>
      <c r="J451" s="14"/>
    </row>
    <row r="452">
      <c r="B452" s="14"/>
      <c r="J452" s="14"/>
    </row>
    <row r="453">
      <c r="B453" s="14"/>
      <c r="J453" s="14"/>
    </row>
    <row r="454">
      <c r="B454" s="14"/>
      <c r="J454" s="14"/>
    </row>
    <row r="455">
      <c r="B455" s="14"/>
      <c r="J455" s="14"/>
    </row>
    <row r="456">
      <c r="B456" s="14"/>
      <c r="J456" s="14"/>
    </row>
    <row r="457">
      <c r="B457" s="14"/>
      <c r="J457" s="14"/>
    </row>
    <row r="458">
      <c r="B458" s="14"/>
      <c r="J458" s="14"/>
    </row>
    <row r="459">
      <c r="B459" s="14"/>
      <c r="J459" s="14"/>
    </row>
    <row r="460">
      <c r="B460" s="14"/>
      <c r="J460" s="14"/>
    </row>
    <row r="461">
      <c r="B461" s="14"/>
      <c r="J461" s="14"/>
    </row>
    <row r="462">
      <c r="B462" s="14"/>
      <c r="J462" s="14"/>
    </row>
    <row r="463">
      <c r="B463" s="14"/>
      <c r="J463" s="14"/>
    </row>
    <row r="464">
      <c r="B464" s="14"/>
      <c r="J464" s="14"/>
    </row>
    <row r="465">
      <c r="B465" s="14"/>
      <c r="J465" s="14"/>
    </row>
    <row r="466">
      <c r="B466" s="14"/>
      <c r="J466" s="14"/>
    </row>
    <row r="467">
      <c r="B467" s="14"/>
      <c r="J467" s="14"/>
    </row>
    <row r="468">
      <c r="B468" s="14"/>
      <c r="J468" s="14"/>
    </row>
    <row r="469">
      <c r="B469" s="14"/>
      <c r="J469" s="14"/>
    </row>
    <row r="470">
      <c r="B470" s="14"/>
      <c r="J470" s="14"/>
    </row>
    <row r="471">
      <c r="B471" s="14"/>
      <c r="J471" s="14"/>
    </row>
    <row r="472">
      <c r="B472" s="14"/>
      <c r="J472" s="14"/>
    </row>
    <row r="473">
      <c r="B473" s="14"/>
      <c r="J473" s="14"/>
    </row>
    <row r="474">
      <c r="B474" s="14"/>
      <c r="J474" s="14"/>
    </row>
    <row r="475">
      <c r="B475" s="14"/>
      <c r="J475" s="14"/>
    </row>
    <row r="476">
      <c r="B476" s="14"/>
      <c r="J476" s="14"/>
    </row>
    <row r="477">
      <c r="B477" s="14"/>
      <c r="J477" s="14"/>
    </row>
    <row r="478">
      <c r="B478" s="14"/>
      <c r="J478" s="14"/>
    </row>
    <row r="479">
      <c r="B479" s="14"/>
      <c r="J479" s="14"/>
    </row>
    <row r="480">
      <c r="B480" s="14"/>
      <c r="J480" s="14"/>
    </row>
    <row r="481">
      <c r="B481" s="14"/>
      <c r="J481" s="14"/>
    </row>
    <row r="482">
      <c r="B482" s="14"/>
      <c r="J482" s="14"/>
    </row>
    <row r="483">
      <c r="B483" s="14"/>
      <c r="J483" s="14"/>
    </row>
    <row r="484">
      <c r="B484" s="14"/>
      <c r="J484" s="14"/>
    </row>
    <row r="485">
      <c r="B485" s="14"/>
      <c r="J485" s="14"/>
    </row>
    <row r="486">
      <c r="B486" s="14"/>
      <c r="J486" s="14"/>
    </row>
    <row r="487">
      <c r="B487" s="14"/>
      <c r="J487" s="14"/>
    </row>
    <row r="488">
      <c r="B488" s="14"/>
      <c r="J488" s="14"/>
    </row>
    <row r="489">
      <c r="B489" s="14"/>
      <c r="J489" s="14"/>
    </row>
    <row r="490">
      <c r="B490" s="14"/>
      <c r="J490" s="14"/>
    </row>
    <row r="491">
      <c r="B491" s="14"/>
      <c r="J491" s="14"/>
    </row>
    <row r="492">
      <c r="B492" s="14"/>
      <c r="J492" s="14"/>
    </row>
    <row r="493">
      <c r="B493" s="14"/>
      <c r="J493" s="14"/>
    </row>
    <row r="494">
      <c r="B494" s="14"/>
      <c r="J494" s="14"/>
    </row>
    <row r="495">
      <c r="B495" s="14"/>
      <c r="J495" s="14"/>
    </row>
    <row r="496">
      <c r="B496" s="14"/>
      <c r="J496" s="14"/>
    </row>
    <row r="497">
      <c r="B497" s="14"/>
      <c r="J497" s="14"/>
    </row>
    <row r="498">
      <c r="B498" s="14"/>
      <c r="J498" s="14"/>
    </row>
    <row r="499">
      <c r="B499" s="14"/>
      <c r="J499" s="14"/>
    </row>
    <row r="500">
      <c r="B500" s="14"/>
      <c r="J500" s="14"/>
    </row>
    <row r="501">
      <c r="B501" s="14"/>
      <c r="J501" s="14"/>
    </row>
    <row r="502">
      <c r="B502" s="14"/>
      <c r="J502" s="14"/>
    </row>
    <row r="503">
      <c r="B503" s="14"/>
      <c r="J503" s="14"/>
    </row>
    <row r="504">
      <c r="B504" s="14"/>
      <c r="J504" s="14"/>
    </row>
    <row r="505">
      <c r="B505" s="14"/>
      <c r="J505" s="14"/>
    </row>
    <row r="506">
      <c r="B506" s="14"/>
      <c r="J506" s="14"/>
    </row>
    <row r="507">
      <c r="B507" s="14"/>
      <c r="J507" s="14"/>
    </row>
    <row r="508">
      <c r="B508" s="14"/>
      <c r="J508" s="14"/>
    </row>
    <row r="509">
      <c r="B509" s="14"/>
      <c r="J509" s="14"/>
    </row>
    <row r="510">
      <c r="B510" s="14"/>
      <c r="J510" s="14"/>
    </row>
    <row r="511">
      <c r="B511" s="14"/>
      <c r="J511" s="14"/>
    </row>
    <row r="512">
      <c r="B512" s="14"/>
      <c r="J512" s="14"/>
    </row>
    <row r="513">
      <c r="B513" s="14"/>
      <c r="J513" s="14"/>
    </row>
    <row r="514">
      <c r="B514" s="14"/>
      <c r="J514" s="14"/>
    </row>
    <row r="515">
      <c r="B515" s="14"/>
      <c r="J515" s="14"/>
    </row>
    <row r="516">
      <c r="B516" s="14"/>
      <c r="J516" s="14"/>
    </row>
    <row r="517">
      <c r="B517" s="14"/>
      <c r="J517" s="14"/>
    </row>
    <row r="518">
      <c r="B518" s="14"/>
      <c r="J518" s="14"/>
    </row>
    <row r="519">
      <c r="B519" s="14"/>
      <c r="J519" s="14"/>
    </row>
    <row r="520">
      <c r="B520" s="14"/>
      <c r="J520" s="14"/>
    </row>
    <row r="521">
      <c r="B521" s="14"/>
      <c r="J521" s="14"/>
    </row>
    <row r="522">
      <c r="B522" s="14"/>
      <c r="J522" s="14"/>
    </row>
    <row r="523">
      <c r="B523" s="14"/>
      <c r="J523" s="14"/>
    </row>
    <row r="524">
      <c r="B524" s="14"/>
      <c r="J524" s="14"/>
    </row>
    <row r="525">
      <c r="B525" s="14"/>
      <c r="J525" s="14"/>
    </row>
    <row r="526">
      <c r="B526" s="14"/>
      <c r="J526" s="14"/>
    </row>
    <row r="527">
      <c r="B527" s="14"/>
      <c r="J527" s="14"/>
    </row>
    <row r="528">
      <c r="B528" s="14"/>
      <c r="J528" s="14"/>
    </row>
    <row r="529">
      <c r="B529" s="14"/>
      <c r="J529" s="14"/>
    </row>
    <row r="530">
      <c r="B530" s="14"/>
      <c r="J530" s="14"/>
    </row>
    <row r="531">
      <c r="B531" s="14"/>
      <c r="J531" s="14"/>
    </row>
    <row r="532">
      <c r="B532" s="14"/>
      <c r="J532" s="14"/>
    </row>
    <row r="533">
      <c r="B533" s="14"/>
      <c r="J533" s="14"/>
    </row>
    <row r="534">
      <c r="B534" s="14"/>
      <c r="J534" s="14"/>
    </row>
    <row r="535">
      <c r="B535" s="14"/>
      <c r="J535" s="14"/>
    </row>
    <row r="536">
      <c r="B536" s="14"/>
      <c r="J536" s="14"/>
    </row>
    <row r="537">
      <c r="B537" s="14"/>
      <c r="J537" s="14"/>
    </row>
    <row r="538">
      <c r="B538" s="14"/>
      <c r="J538" s="14"/>
    </row>
    <row r="539">
      <c r="B539" s="14"/>
      <c r="J539" s="14"/>
    </row>
    <row r="540">
      <c r="B540" s="14"/>
      <c r="J540" s="14"/>
    </row>
    <row r="541">
      <c r="B541" s="14"/>
      <c r="J541" s="14"/>
    </row>
    <row r="542">
      <c r="B542" s="14"/>
      <c r="J542" s="14"/>
    </row>
    <row r="543">
      <c r="B543" s="14"/>
      <c r="J543" s="14"/>
    </row>
    <row r="544">
      <c r="B544" s="14"/>
      <c r="J544" s="14"/>
    </row>
    <row r="545">
      <c r="B545" s="14"/>
      <c r="J545" s="14"/>
    </row>
    <row r="546">
      <c r="B546" s="14"/>
      <c r="J546" s="14"/>
    </row>
    <row r="547">
      <c r="B547" s="14"/>
      <c r="J547" s="14"/>
    </row>
    <row r="548">
      <c r="B548" s="14"/>
      <c r="J548" s="14"/>
    </row>
    <row r="549">
      <c r="B549" s="14"/>
      <c r="J549" s="14"/>
    </row>
    <row r="550">
      <c r="B550" s="14"/>
      <c r="J550" s="14"/>
    </row>
    <row r="551">
      <c r="B551" s="14"/>
      <c r="J551" s="14"/>
    </row>
    <row r="552">
      <c r="B552" s="14"/>
      <c r="J552" s="14"/>
    </row>
    <row r="553">
      <c r="B553" s="14"/>
      <c r="J553" s="14"/>
    </row>
    <row r="554">
      <c r="B554" s="14"/>
      <c r="J554" s="14"/>
    </row>
    <row r="555">
      <c r="B555" s="14"/>
      <c r="J555" s="14"/>
    </row>
    <row r="556">
      <c r="B556" s="14"/>
      <c r="J556" s="14"/>
    </row>
    <row r="557">
      <c r="B557" s="14"/>
      <c r="J557" s="14"/>
    </row>
    <row r="558">
      <c r="B558" s="14"/>
      <c r="J558" s="14"/>
    </row>
    <row r="559">
      <c r="B559" s="14"/>
      <c r="J559" s="14"/>
    </row>
    <row r="560">
      <c r="B560" s="14"/>
      <c r="J560" s="14"/>
    </row>
    <row r="561">
      <c r="B561" s="14"/>
      <c r="J561" s="14"/>
    </row>
    <row r="562">
      <c r="B562" s="14"/>
      <c r="J562" s="14"/>
    </row>
    <row r="563">
      <c r="B563" s="14"/>
      <c r="J563" s="14"/>
    </row>
    <row r="564">
      <c r="B564" s="14"/>
      <c r="J564" s="14"/>
    </row>
    <row r="565">
      <c r="B565" s="14"/>
      <c r="J565" s="14"/>
    </row>
    <row r="566">
      <c r="B566" s="14"/>
      <c r="J566" s="14"/>
    </row>
    <row r="567">
      <c r="B567" s="14"/>
      <c r="J567" s="14"/>
    </row>
    <row r="568">
      <c r="B568" s="14"/>
      <c r="J568" s="14"/>
    </row>
    <row r="569">
      <c r="B569" s="14"/>
      <c r="J569" s="14"/>
    </row>
    <row r="570">
      <c r="B570" s="14"/>
      <c r="J570" s="14"/>
    </row>
    <row r="571">
      <c r="B571" s="14"/>
      <c r="J571" s="14"/>
    </row>
    <row r="572">
      <c r="B572" s="14"/>
      <c r="J572" s="14"/>
    </row>
    <row r="573">
      <c r="B573" s="14"/>
      <c r="J573" s="14"/>
    </row>
    <row r="574">
      <c r="B574" s="14"/>
      <c r="J574" s="14"/>
    </row>
    <row r="575">
      <c r="B575" s="14"/>
      <c r="J575" s="14"/>
    </row>
    <row r="576">
      <c r="B576" s="14"/>
      <c r="J576" s="14"/>
    </row>
    <row r="577">
      <c r="B577" s="14"/>
      <c r="J577" s="14"/>
    </row>
    <row r="578">
      <c r="B578" s="14"/>
      <c r="J578" s="14"/>
    </row>
    <row r="579">
      <c r="B579" s="14"/>
      <c r="J579" s="14"/>
    </row>
    <row r="580">
      <c r="B580" s="14"/>
      <c r="J580" s="14"/>
    </row>
    <row r="581">
      <c r="B581" s="14"/>
      <c r="J581" s="14"/>
    </row>
    <row r="582">
      <c r="B582" s="14"/>
      <c r="J582" s="14"/>
    </row>
    <row r="583">
      <c r="B583" s="14"/>
      <c r="J583" s="14"/>
    </row>
    <row r="584">
      <c r="B584" s="14"/>
      <c r="J584" s="14"/>
    </row>
    <row r="585">
      <c r="B585" s="14"/>
      <c r="J585" s="14"/>
    </row>
    <row r="586">
      <c r="B586" s="14"/>
      <c r="J586" s="14"/>
    </row>
    <row r="587">
      <c r="B587" s="14"/>
      <c r="J587" s="14"/>
    </row>
    <row r="588">
      <c r="B588" s="14"/>
      <c r="J588" s="14"/>
    </row>
    <row r="589">
      <c r="B589" s="14"/>
      <c r="J589" s="14"/>
    </row>
    <row r="590">
      <c r="B590" s="14"/>
      <c r="J590" s="14"/>
    </row>
    <row r="591">
      <c r="B591" s="14"/>
      <c r="J591" s="14"/>
    </row>
    <row r="592">
      <c r="B592" s="14"/>
      <c r="J592" s="14"/>
    </row>
    <row r="593">
      <c r="B593" s="14"/>
      <c r="J593" s="14"/>
    </row>
    <row r="594">
      <c r="B594" s="14"/>
      <c r="J594" s="14"/>
    </row>
    <row r="595">
      <c r="B595" s="14"/>
      <c r="J595" s="14"/>
    </row>
    <row r="596">
      <c r="B596" s="14"/>
      <c r="J596" s="14"/>
    </row>
    <row r="597">
      <c r="B597" s="14"/>
      <c r="J597" s="14"/>
    </row>
    <row r="598">
      <c r="B598" s="14"/>
      <c r="J598" s="14"/>
    </row>
    <row r="599">
      <c r="B599" s="14"/>
      <c r="J599" s="14"/>
    </row>
    <row r="600">
      <c r="B600" s="14"/>
      <c r="J600" s="14"/>
    </row>
    <row r="601">
      <c r="B601" s="14"/>
      <c r="J601" s="14"/>
    </row>
    <row r="602">
      <c r="B602" s="14"/>
      <c r="J602" s="14"/>
    </row>
    <row r="603">
      <c r="B603" s="14"/>
      <c r="J603" s="14"/>
    </row>
    <row r="604">
      <c r="B604" s="14"/>
      <c r="J604" s="14"/>
    </row>
    <row r="605">
      <c r="B605" s="14"/>
      <c r="J605" s="14"/>
    </row>
    <row r="606">
      <c r="B606" s="14"/>
      <c r="J606" s="14"/>
    </row>
    <row r="607">
      <c r="B607" s="14"/>
      <c r="J607" s="14"/>
    </row>
    <row r="608">
      <c r="B608" s="14"/>
      <c r="J608" s="14"/>
    </row>
    <row r="609">
      <c r="B609" s="14"/>
      <c r="J609" s="14"/>
    </row>
    <row r="610">
      <c r="B610" s="14"/>
      <c r="J610" s="14"/>
    </row>
    <row r="611">
      <c r="B611" s="14"/>
      <c r="J611" s="14"/>
    </row>
    <row r="612">
      <c r="B612" s="14"/>
      <c r="J612" s="14"/>
    </row>
    <row r="613">
      <c r="B613" s="14"/>
      <c r="J613" s="14"/>
    </row>
    <row r="614">
      <c r="B614" s="14"/>
      <c r="J614" s="14"/>
    </row>
    <row r="615">
      <c r="B615" s="14"/>
      <c r="J615" s="14"/>
    </row>
    <row r="616">
      <c r="B616" s="14"/>
      <c r="J616" s="14"/>
    </row>
    <row r="617">
      <c r="B617" s="14"/>
      <c r="J617" s="14"/>
    </row>
    <row r="618">
      <c r="B618" s="14"/>
      <c r="J618" s="14"/>
    </row>
    <row r="619">
      <c r="B619" s="14"/>
      <c r="J619" s="14"/>
    </row>
    <row r="620">
      <c r="B620" s="14"/>
      <c r="J620" s="14"/>
    </row>
    <row r="621">
      <c r="B621" s="14"/>
      <c r="J621" s="14"/>
    </row>
    <row r="622">
      <c r="B622" s="14"/>
      <c r="J622" s="14"/>
    </row>
    <row r="623">
      <c r="B623" s="14"/>
      <c r="J623" s="14"/>
    </row>
    <row r="624">
      <c r="B624" s="14"/>
      <c r="J624" s="14"/>
    </row>
    <row r="625">
      <c r="B625" s="14"/>
      <c r="J625" s="14"/>
    </row>
    <row r="626">
      <c r="B626" s="14"/>
      <c r="J626" s="14"/>
    </row>
    <row r="627">
      <c r="B627" s="14"/>
      <c r="J627" s="14"/>
    </row>
    <row r="628">
      <c r="B628" s="14"/>
      <c r="J628" s="14"/>
    </row>
    <row r="629">
      <c r="B629" s="14"/>
      <c r="J629" s="14"/>
    </row>
    <row r="630">
      <c r="B630" s="14"/>
      <c r="J630" s="14"/>
    </row>
    <row r="631">
      <c r="B631" s="14"/>
      <c r="J631" s="14"/>
    </row>
    <row r="632">
      <c r="B632" s="14"/>
      <c r="J632" s="14"/>
    </row>
    <row r="633">
      <c r="B633" s="14"/>
      <c r="J633" s="14"/>
    </row>
    <row r="634">
      <c r="B634" s="14"/>
      <c r="J634" s="14"/>
    </row>
    <row r="635">
      <c r="B635" s="14"/>
      <c r="J635" s="14"/>
    </row>
    <row r="636">
      <c r="B636" s="14"/>
      <c r="J636" s="14"/>
    </row>
    <row r="637">
      <c r="B637" s="14"/>
      <c r="J637" s="14"/>
    </row>
    <row r="638">
      <c r="B638" s="14"/>
      <c r="J638" s="14"/>
    </row>
    <row r="639">
      <c r="B639" s="14"/>
      <c r="J639" s="14"/>
    </row>
    <row r="640">
      <c r="B640" s="14"/>
      <c r="J640" s="14"/>
    </row>
    <row r="641">
      <c r="B641" s="14"/>
      <c r="J641" s="14"/>
    </row>
    <row r="642">
      <c r="B642" s="14"/>
      <c r="J642" s="14"/>
    </row>
    <row r="643">
      <c r="B643" s="14"/>
      <c r="J643" s="14"/>
    </row>
    <row r="644">
      <c r="B644" s="14"/>
      <c r="J644" s="14"/>
    </row>
    <row r="645">
      <c r="B645" s="14"/>
      <c r="J645" s="14"/>
    </row>
    <row r="646">
      <c r="B646" s="14"/>
      <c r="J646" s="14"/>
    </row>
    <row r="647">
      <c r="B647" s="14"/>
      <c r="J647" s="14"/>
    </row>
    <row r="648">
      <c r="B648" s="14"/>
      <c r="J648" s="14"/>
    </row>
    <row r="649">
      <c r="B649" s="14"/>
      <c r="J649" s="14"/>
    </row>
    <row r="650">
      <c r="B650" s="14"/>
      <c r="J650" s="14"/>
    </row>
    <row r="651">
      <c r="B651" s="14"/>
      <c r="J651" s="14"/>
    </row>
    <row r="652">
      <c r="B652" s="14"/>
      <c r="J652" s="14"/>
    </row>
    <row r="653">
      <c r="B653" s="14"/>
      <c r="J653" s="14"/>
    </row>
    <row r="654">
      <c r="B654" s="14"/>
      <c r="J654" s="14"/>
    </row>
    <row r="655">
      <c r="B655" s="14"/>
      <c r="J655" s="14"/>
    </row>
    <row r="656">
      <c r="B656" s="14"/>
      <c r="J656" s="14"/>
    </row>
    <row r="657">
      <c r="B657" s="14"/>
      <c r="J657" s="14"/>
    </row>
    <row r="658">
      <c r="B658" s="14"/>
      <c r="J658" s="14"/>
    </row>
    <row r="659">
      <c r="B659" s="14"/>
      <c r="J659" s="14"/>
    </row>
    <row r="660">
      <c r="B660" s="14"/>
      <c r="J660" s="14"/>
    </row>
    <row r="661">
      <c r="B661" s="14"/>
      <c r="J661" s="14"/>
    </row>
    <row r="662">
      <c r="B662" s="14"/>
      <c r="J662" s="14"/>
    </row>
    <row r="663">
      <c r="B663" s="14"/>
      <c r="J663" s="14"/>
    </row>
    <row r="664">
      <c r="B664" s="14"/>
      <c r="J664" s="14"/>
    </row>
    <row r="665">
      <c r="B665" s="14"/>
      <c r="J665" s="14"/>
    </row>
    <row r="666">
      <c r="B666" s="14"/>
      <c r="J666" s="14"/>
    </row>
    <row r="667">
      <c r="B667" s="14"/>
      <c r="J667" s="14"/>
    </row>
    <row r="668">
      <c r="B668" s="14"/>
      <c r="J668" s="14"/>
    </row>
    <row r="669">
      <c r="B669" s="14"/>
      <c r="J669" s="14"/>
    </row>
    <row r="670">
      <c r="B670" s="14"/>
      <c r="J670" s="14"/>
    </row>
    <row r="671">
      <c r="B671" s="14"/>
      <c r="J671" s="14"/>
    </row>
    <row r="672">
      <c r="B672" s="14"/>
      <c r="J672" s="14"/>
    </row>
    <row r="673">
      <c r="B673" s="14"/>
      <c r="J673" s="14"/>
    </row>
    <row r="674">
      <c r="B674" s="14"/>
      <c r="J674" s="14"/>
    </row>
    <row r="675">
      <c r="B675" s="14"/>
      <c r="J675" s="14"/>
    </row>
    <row r="676">
      <c r="B676" s="14"/>
      <c r="J676" s="14"/>
    </row>
    <row r="677">
      <c r="B677" s="14"/>
      <c r="J677" s="14"/>
    </row>
    <row r="678">
      <c r="B678" s="14"/>
      <c r="J678" s="14"/>
    </row>
    <row r="679">
      <c r="B679" s="14"/>
      <c r="J679" s="14"/>
    </row>
    <row r="680">
      <c r="B680" s="14"/>
      <c r="J680" s="14"/>
    </row>
    <row r="681">
      <c r="B681" s="14"/>
      <c r="J681" s="14"/>
    </row>
    <row r="682">
      <c r="B682" s="14"/>
      <c r="J682" s="14"/>
    </row>
    <row r="683">
      <c r="B683" s="14"/>
      <c r="J683" s="14"/>
    </row>
    <row r="684">
      <c r="B684" s="14"/>
      <c r="J684" s="14"/>
    </row>
    <row r="685">
      <c r="B685" s="14"/>
      <c r="J685" s="14"/>
    </row>
    <row r="686">
      <c r="B686" s="14"/>
      <c r="J686" s="14"/>
    </row>
    <row r="687">
      <c r="B687" s="14"/>
      <c r="J687" s="14"/>
    </row>
    <row r="688">
      <c r="B688" s="14"/>
      <c r="J688" s="14"/>
    </row>
    <row r="689">
      <c r="B689" s="14"/>
      <c r="J689" s="14"/>
    </row>
    <row r="690">
      <c r="B690" s="14"/>
      <c r="J690" s="14"/>
    </row>
    <row r="691">
      <c r="B691" s="14"/>
      <c r="J691" s="14"/>
    </row>
    <row r="692">
      <c r="B692" s="14"/>
      <c r="J692" s="14"/>
    </row>
    <row r="693">
      <c r="B693" s="14"/>
      <c r="J693" s="14"/>
    </row>
    <row r="694">
      <c r="B694" s="14"/>
      <c r="J694" s="14"/>
    </row>
    <row r="695">
      <c r="B695" s="14"/>
      <c r="J695" s="14"/>
    </row>
    <row r="696">
      <c r="B696" s="14"/>
      <c r="J696" s="14"/>
    </row>
    <row r="697">
      <c r="B697" s="14"/>
      <c r="J697" s="14"/>
    </row>
    <row r="698">
      <c r="B698" s="14"/>
      <c r="J698" s="14"/>
    </row>
    <row r="699">
      <c r="B699" s="14"/>
      <c r="J699" s="14"/>
    </row>
    <row r="700">
      <c r="B700" s="14"/>
      <c r="J700" s="14"/>
    </row>
    <row r="701">
      <c r="B701" s="14"/>
      <c r="J701" s="14"/>
    </row>
    <row r="702">
      <c r="B702" s="14"/>
      <c r="J702" s="14"/>
    </row>
    <row r="703">
      <c r="B703" s="14"/>
      <c r="J703" s="14"/>
    </row>
    <row r="704">
      <c r="B704" s="14"/>
      <c r="J704" s="14"/>
    </row>
    <row r="705">
      <c r="B705" s="14"/>
      <c r="J705" s="14"/>
    </row>
    <row r="706">
      <c r="B706" s="14"/>
      <c r="J706" s="14"/>
    </row>
    <row r="707">
      <c r="B707" s="14"/>
      <c r="J707" s="14"/>
    </row>
    <row r="708">
      <c r="B708" s="14"/>
      <c r="J708" s="14"/>
    </row>
    <row r="709">
      <c r="B709" s="14"/>
      <c r="J709" s="14"/>
    </row>
    <row r="710">
      <c r="B710" s="14"/>
      <c r="J710" s="14"/>
    </row>
    <row r="711">
      <c r="B711" s="14"/>
      <c r="J711" s="14"/>
    </row>
    <row r="712">
      <c r="B712" s="14"/>
      <c r="J712" s="14"/>
    </row>
    <row r="713">
      <c r="B713" s="14"/>
      <c r="J713" s="14"/>
    </row>
    <row r="714">
      <c r="B714" s="14"/>
      <c r="J714" s="14"/>
    </row>
    <row r="715">
      <c r="B715" s="14"/>
      <c r="J715" s="14"/>
    </row>
    <row r="716">
      <c r="B716" s="14"/>
      <c r="J716" s="14"/>
    </row>
    <row r="717">
      <c r="B717" s="14"/>
      <c r="J717" s="14"/>
    </row>
    <row r="718">
      <c r="B718" s="14"/>
      <c r="J718" s="14"/>
    </row>
    <row r="719">
      <c r="B719" s="14"/>
      <c r="J719" s="14"/>
    </row>
    <row r="720">
      <c r="B720" s="14"/>
      <c r="J720" s="14"/>
    </row>
    <row r="721">
      <c r="B721" s="14"/>
      <c r="J721" s="14"/>
    </row>
    <row r="722">
      <c r="B722" s="14"/>
      <c r="J722" s="14"/>
    </row>
    <row r="723">
      <c r="B723" s="14"/>
      <c r="J723" s="14"/>
    </row>
    <row r="724">
      <c r="B724" s="14"/>
      <c r="J724" s="14"/>
    </row>
    <row r="725">
      <c r="B725" s="14"/>
      <c r="J725" s="14"/>
    </row>
    <row r="726">
      <c r="B726" s="14"/>
      <c r="J726" s="14"/>
    </row>
    <row r="727">
      <c r="B727" s="14"/>
      <c r="J727" s="14"/>
    </row>
    <row r="728">
      <c r="B728" s="14"/>
      <c r="J728" s="14"/>
    </row>
    <row r="729">
      <c r="B729" s="14"/>
      <c r="J729" s="14"/>
    </row>
    <row r="730">
      <c r="B730" s="14"/>
      <c r="J730" s="14"/>
    </row>
    <row r="731">
      <c r="B731" s="14"/>
      <c r="J731" s="14"/>
    </row>
    <row r="732">
      <c r="B732" s="14"/>
      <c r="J732" s="14"/>
    </row>
    <row r="733">
      <c r="B733" s="14"/>
      <c r="J733" s="14"/>
    </row>
    <row r="734">
      <c r="B734" s="14"/>
      <c r="J734" s="14"/>
    </row>
    <row r="735">
      <c r="B735" s="14"/>
      <c r="J735" s="14"/>
    </row>
    <row r="736">
      <c r="B736" s="14"/>
      <c r="J736" s="14"/>
    </row>
    <row r="737">
      <c r="B737" s="14"/>
      <c r="J737" s="14"/>
    </row>
    <row r="738">
      <c r="B738" s="14"/>
      <c r="J738" s="14"/>
    </row>
    <row r="739">
      <c r="B739" s="14"/>
      <c r="J739" s="14"/>
    </row>
    <row r="740">
      <c r="B740" s="14"/>
      <c r="J740" s="14"/>
    </row>
    <row r="741">
      <c r="B741" s="14"/>
      <c r="J741" s="14"/>
    </row>
    <row r="742">
      <c r="B742" s="14"/>
      <c r="J742" s="14"/>
    </row>
    <row r="743">
      <c r="B743" s="14"/>
      <c r="J743" s="14"/>
    </row>
    <row r="744">
      <c r="B744" s="14"/>
      <c r="J744" s="14"/>
    </row>
    <row r="745">
      <c r="B745" s="14"/>
      <c r="J745" s="14"/>
    </row>
    <row r="746">
      <c r="B746" s="14"/>
      <c r="J746" s="14"/>
    </row>
    <row r="747">
      <c r="B747" s="14"/>
      <c r="J747" s="14"/>
    </row>
    <row r="748">
      <c r="B748" s="14"/>
      <c r="J748" s="14"/>
    </row>
    <row r="749">
      <c r="B749" s="14"/>
      <c r="J749" s="14"/>
    </row>
    <row r="750">
      <c r="B750" s="14"/>
      <c r="J750" s="14"/>
    </row>
    <row r="751">
      <c r="B751" s="14"/>
      <c r="J751" s="14"/>
    </row>
    <row r="752">
      <c r="B752" s="14"/>
      <c r="J752" s="14"/>
    </row>
    <row r="753">
      <c r="B753" s="14"/>
      <c r="J753" s="14"/>
    </row>
    <row r="754">
      <c r="B754" s="14"/>
      <c r="J754" s="14"/>
    </row>
    <row r="755">
      <c r="B755" s="14"/>
      <c r="J755" s="14"/>
    </row>
    <row r="756">
      <c r="B756" s="14"/>
      <c r="J756" s="14"/>
    </row>
    <row r="757">
      <c r="B757" s="14"/>
      <c r="J757" s="14"/>
    </row>
    <row r="758">
      <c r="B758" s="14"/>
      <c r="J758" s="14"/>
    </row>
    <row r="759">
      <c r="B759" s="14"/>
      <c r="J759" s="14"/>
    </row>
    <row r="760">
      <c r="B760" s="14"/>
      <c r="J760" s="14"/>
    </row>
    <row r="761">
      <c r="B761" s="14"/>
      <c r="J761" s="14"/>
    </row>
    <row r="762">
      <c r="B762" s="14"/>
      <c r="J762" s="14"/>
    </row>
    <row r="763">
      <c r="B763" s="14"/>
      <c r="J763" s="14"/>
    </row>
    <row r="764">
      <c r="B764" s="14"/>
      <c r="J764" s="14"/>
    </row>
    <row r="765">
      <c r="B765" s="14"/>
      <c r="J765" s="14"/>
    </row>
    <row r="766">
      <c r="B766" s="14"/>
      <c r="J766" s="14"/>
    </row>
    <row r="767">
      <c r="B767" s="14"/>
      <c r="J767" s="14"/>
    </row>
    <row r="768">
      <c r="B768" s="14"/>
      <c r="J768" s="14"/>
    </row>
    <row r="769">
      <c r="B769" s="14"/>
      <c r="J769" s="14"/>
    </row>
    <row r="770">
      <c r="B770" s="14"/>
      <c r="J770" s="14"/>
    </row>
    <row r="771">
      <c r="B771" s="14"/>
      <c r="J771" s="14"/>
    </row>
    <row r="772">
      <c r="B772" s="14"/>
      <c r="J772" s="14"/>
    </row>
    <row r="773">
      <c r="B773" s="14"/>
      <c r="J773" s="14"/>
    </row>
    <row r="774">
      <c r="B774" s="14"/>
      <c r="J774" s="14"/>
    </row>
    <row r="775">
      <c r="B775" s="14"/>
      <c r="J775" s="14"/>
    </row>
    <row r="776">
      <c r="B776" s="14"/>
      <c r="J776" s="14"/>
    </row>
    <row r="777">
      <c r="B777" s="14"/>
      <c r="J777" s="14"/>
    </row>
    <row r="778">
      <c r="B778" s="14"/>
      <c r="J778" s="14"/>
    </row>
    <row r="779">
      <c r="B779" s="14"/>
      <c r="J779" s="14"/>
    </row>
    <row r="780">
      <c r="B780" s="14"/>
      <c r="J780" s="14"/>
    </row>
    <row r="781">
      <c r="B781" s="14"/>
      <c r="J781" s="14"/>
    </row>
    <row r="782">
      <c r="B782" s="14"/>
      <c r="J782" s="14"/>
    </row>
    <row r="783">
      <c r="B783" s="14"/>
      <c r="J783" s="14"/>
    </row>
    <row r="784">
      <c r="B784" s="14"/>
      <c r="J784" s="14"/>
    </row>
    <row r="785">
      <c r="B785" s="14"/>
      <c r="J785" s="14"/>
    </row>
    <row r="786">
      <c r="B786" s="14"/>
      <c r="J786" s="14"/>
    </row>
    <row r="787">
      <c r="B787" s="14"/>
      <c r="J787" s="14"/>
    </row>
    <row r="788">
      <c r="B788" s="14"/>
      <c r="J788" s="14"/>
    </row>
    <row r="789">
      <c r="B789" s="14"/>
      <c r="J789" s="14"/>
    </row>
    <row r="790">
      <c r="B790" s="14"/>
      <c r="J790" s="14"/>
    </row>
    <row r="791">
      <c r="B791" s="14"/>
      <c r="J791" s="14"/>
    </row>
    <row r="792">
      <c r="B792" s="14"/>
      <c r="J792" s="14"/>
    </row>
    <row r="793">
      <c r="B793" s="14"/>
      <c r="J793" s="14"/>
    </row>
    <row r="794">
      <c r="B794" s="14"/>
      <c r="J794" s="14"/>
    </row>
    <row r="795">
      <c r="B795" s="14"/>
      <c r="J795" s="14"/>
    </row>
    <row r="796">
      <c r="B796" s="14"/>
      <c r="J796" s="14"/>
    </row>
    <row r="797">
      <c r="B797" s="14"/>
      <c r="J797" s="14"/>
    </row>
    <row r="798">
      <c r="B798" s="14"/>
      <c r="J798" s="14"/>
    </row>
    <row r="799">
      <c r="B799" s="14"/>
      <c r="J799" s="14"/>
    </row>
    <row r="800">
      <c r="B800" s="14"/>
      <c r="J800" s="14"/>
    </row>
    <row r="801">
      <c r="B801" s="14"/>
      <c r="J801" s="14"/>
    </row>
    <row r="802">
      <c r="B802" s="14"/>
      <c r="J802" s="14"/>
    </row>
    <row r="803">
      <c r="B803" s="14"/>
      <c r="J803" s="14"/>
    </row>
    <row r="804">
      <c r="B804" s="14"/>
      <c r="J804" s="14"/>
    </row>
    <row r="805">
      <c r="B805" s="14"/>
      <c r="J805" s="14"/>
    </row>
    <row r="806">
      <c r="B806" s="14"/>
      <c r="J806" s="14"/>
    </row>
    <row r="807">
      <c r="B807" s="14"/>
      <c r="J807" s="14"/>
    </row>
    <row r="808">
      <c r="B808" s="14"/>
      <c r="J808" s="14"/>
    </row>
    <row r="809">
      <c r="B809" s="14"/>
      <c r="J809" s="14"/>
    </row>
    <row r="810">
      <c r="B810" s="14"/>
      <c r="J810" s="14"/>
    </row>
    <row r="811">
      <c r="B811" s="14"/>
      <c r="J811" s="14"/>
    </row>
    <row r="812">
      <c r="B812" s="14"/>
      <c r="J812" s="14"/>
    </row>
    <row r="813">
      <c r="B813" s="14"/>
      <c r="J813" s="14"/>
    </row>
    <row r="814">
      <c r="B814" s="14"/>
      <c r="J814" s="14"/>
    </row>
    <row r="815">
      <c r="B815" s="14"/>
      <c r="J815" s="14"/>
    </row>
    <row r="816">
      <c r="B816" s="14"/>
      <c r="J816" s="14"/>
    </row>
    <row r="817">
      <c r="B817" s="14"/>
      <c r="J817" s="14"/>
    </row>
    <row r="818">
      <c r="B818" s="14"/>
      <c r="J818" s="14"/>
    </row>
    <row r="819">
      <c r="B819" s="14"/>
      <c r="J819" s="14"/>
    </row>
    <row r="820">
      <c r="B820" s="14"/>
      <c r="J820" s="14"/>
    </row>
    <row r="821">
      <c r="B821" s="14"/>
      <c r="J821" s="14"/>
    </row>
    <row r="822">
      <c r="B822" s="14"/>
      <c r="J822" s="14"/>
    </row>
    <row r="823">
      <c r="B823" s="14"/>
      <c r="J823" s="14"/>
    </row>
    <row r="824">
      <c r="B824" s="14"/>
      <c r="J824" s="14"/>
    </row>
    <row r="825">
      <c r="B825" s="14"/>
      <c r="J825" s="14"/>
    </row>
    <row r="826">
      <c r="B826" s="14"/>
      <c r="J826" s="14"/>
    </row>
    <row r="827">
      <c r="B827" s="14"/>
      <c r="J827" s="14"/>
    </row>
    <row r="828">
      <c r="B828" s="14"/>
      <c r="J828" s="14"/>
    </row>
    <row r="829">
      <c r="B829" s="14"/>
      <c r="J829" s="14"/>
    </row>
    <row r="830">
      <c r="B830" s="14"/>
      <c r="J830" s="14"/>
    </row>
    <row r="831">
      <c r="B831" s="14"/>
      <c r="J831" s="14"/>
    </row>
    <row r="832">
      <c r="B832" s="14"/>
      <c r="J832" s="14"/>
    </row>
    <row r="833">
      <c r="B833" s="14"/>
      <c r="J833" s="14"/>
    </row>
    <row r="834">
      <c r="B834" s="14"/>
      <c r="J834" s="14"/>
    </row>
    <row r="835">
      <c r="B835" s="14"/>
      <c r="J835" s="14"/>
    </row>
    <row r="836">
      <c r="B836" s="14"/>
      <c r="J836" s="14"/>
    </row>
    <row r="837">
      <c r="B837" s="14"/>
      <c r="J837" s="14"/>
    </row>
    <row r="838">
      <c r="B838" s="14"/>
      <c r="J838" s="14"/>
    </row>
    <row r="839">
      <c r="B839" s="14"/>
      <c r="J839" s="14"/>
    </row>
    <row r="840">
      <c r="B840" s="14"/>
      <c r="J840" s="14"/>
    </row>
    <row r="841">
      <c r="B841" s="14"/>
      <c r="J841" s="14"/>
    </row>
    <row r="842">
      <c r="B842" s="14"/>
      <c r="J842" s="14"/>
    </row>
    <row r="843">
      <c r="B843" s="14"/>
      <c r="J843" s="14"/>
    </row>
    <row r="844">
      <c r="B844" s="14"/>
      <c r="J844" s="14"/>
    </row>
    <row r="845">
      <c r="B845" s="14"/>
      <c r="J845" s="14"/>
    </row>
    <row r="846">
      <c r="B846" s="14"/>
      <c r="J846" s="14"/>
    </row>
    <row r="847">
      <c r="B847" s="14"/>
      <c r="J847" s="14"/>
    </row>
    <row r="848">
      <c r="B848" s="14"/>
      <c r="J848" s="14"/>
    </row>
    <row r="849">
      <c r="B849" s="14"/>
      <c r="J849" s="14"/>
    </row>
    <row r="850">
      <c r="B850" s="14"/>
      <c r="J850" s="14"/>
    </row>
    <row r="851">
      <c r="B851" s="14"/>
      <c r="J851" s="14"/>
    </row>
    <row r="852">
      <c r="B852" s="14"/>
      <c r="J852" s="14"/>
    </row>
    <row r="853">
      <c r="B853" s="14"/>
      <c r="J853" s="14"/>
    </row>
    <row r="854">
      <c r="B854" s="14"/>
      <c r="J854" s="14"/>
    </row>
    <row r="855">
      <c r="B855" s="14"/>
      <c r="J855" s="14"/>
    </row>
    <row r="856">
      <c r="B856" s="14"/>
      <c r="J856" s="14"/>
    </row>
    <row r="857">
      <c r="B857" s="14"/>
      <c r="J857" s="14"/>
    </row>
    <row r="858">
      <c r="B858" s="14"/>
      <c r="J858" s="14"/>
    </row>
    <row r="859">
      <c r="B859" s="14"/>
      <c r="J859" s="14"/>
    </row>
    <row r="860">
      <c r="B860" s="14"/>
      <c r="J860" s="14"/>
    </row>
    <row r="861">
      <c r="B861" s="14"/>
      <c r="J861" s="14"/>
    </row>
    <row r="862">
      <c r="B862" s="14"/>
      <c r="J862" s="14"/>
    </row>
    <row r="863">
      <c r="B863" s="14"/>
      <c r="J863" s="14"/>
    </row>
    <row r="864">
      <c r="B864" s="14"/>
      <c r="J864" s="14"/>
    </row>
    <row r="865">
      <c r="B865" s="14"/>
      <c r="J865" s="14"/>
    </row>
    <row r="866">
      <c r="B866" s="14"/>
      <c r="J866" s="14"/>
    </row>
    <row r="867">
      <c r="B867" s="14"/>
      <c r="J867" s="14"/>
    </row>
    <row r="868">
      <c r="B868" s="14"/>
      <c r="J868" s="14"/>
    </row>
    <row r="869">
      <c r="B869" s="14"/>
      <c r="J869" s="14"/>
    </row>
    <row r="870">
      <c r="B870" s="14"/>
      <c r="J870" s="14"/>
    </row>
    <row r="871">
      <c r="B871" s="14"/>
      <c r="J871" s="14"/>
    </row>
    <row r="872">
      <c r="B872" s="14"/>
      <c r="J872" s="14"/>
    </row>
    <row r="873">
      <c r="B873" s="14"/>
      <c r="J873" s="14"/>
    </row>
    <row r="874">
      <c r="B874" s="14"/>
      <c r="J874" s="14"/>
    </row>
    <row r="875">
      <c r="B875" s="14"/>
      <c r="J875" s="14"/>
    </row>
    <row r="876">
      <c r="B876" s="14"/>
      <c r="J876" s="14"/>
    </row>
    <row r="877">
      <c r="B877" s="14"/>
      <c r="J877" s="14"/>
    </row>
    <row r="878">
      <c r="B878" s="14"/>
      <c r="J878" s="14"/>
    </row>
    <row r="879">
      <c r="B879" s="14"/>
      <c r="J879" s="14"/>
    </row>
    <row r="880">
      <c r="B880" s="14"/>
      <c r="J880" s="14"/>
    </row>
    <row r="881">
      <c r="B881" s="14"/>
      <c r="J881" s="14"/>
    </row>
    <row r="882">
      <c r="B882" s="14"/>
      <c r="J882" s="14"/>
    </row>
    <row r="883">
      <c r="B883" s="14"/>
      <c r="J883" s="14"/>
    </row>
    <row r="884">
      <c r="B884" s="14"/>
      <c r="J884" s="14"/>
    </row>
    <row r="885">
      <c r="B885" s="14"/>
      <c r="J885" s="14"/>
    </row>
    <row r="886">
      <c r="B886" s="14"/>
      <c r="J886" s="14"/>
    </row>
    <row r="887">
      <c r="B887" s="14"/>
      <c r="J887" s="14"/>
    </row>
    <row r="888">
      <c r="B888" s="14"/>
      <c r="J888" s="14"/>
    </row>
    <row r="889">
      <c r="B889" s="14"/>
      <c r="J889" s="14"/>
    </row>
    <row r="890">
      <c r="B890" s="14"/>
      <c r="J890" s="14"/>
    </row>
    <row r="891">
      <c r="B891" s="14"/>
      <c r="J891" s="14"/>
    </row>
    <row r="892">
      <c r="B892" s="14"/>
      <c r="J892" s="14"/>
    </row>
    <row r="893">
      <c r="B893" s="14"/>
      <c r="J893" s="14"/>
    </row>
    <row r="894">
      <c r="B894" s="14"/>
      <c r="J894" s="14"/>
    </row>
    <row r="895">
      <c r="B895" s="14"/>
      <c r="J895" s="14"/>
    </row>
    <row r="896">
      <c r="B896" s="14"/>
      <c r="J896" s="14"/>
    </row>
    <row r="897">
      <c r="B897" s="14"/>
      <c r="J897" s="14"/>
    </row>
    <row r="898">
      <c r="B898" s="14"/>
      <c r="J898" s="14"/>
    </row>
    <row r="899">
      <c r="B899" s="14"/>
      <c r="J899" s="14"/>
    </row>
    <row r="900">
      <c r="B900" s="14"/>
      <c r="J900" s="14"/>
    </row>
    <row r="901">
      <c r="B901" s="14"/>
      <c r="J901" s="14"/>
    </row>
    <row r="902">
      <c r="B902" s="14"/>
      <c r="J902" s="14"/>
    </row>
    <row r="903">
      <c r="B903" s="14"/>
      <c r="J903" s="14"/>
    </row>
    <row r="904">
      <c r="B904" s="14"/>
      <c r="J904" s="14"/>
    </row>
    <row r="905">
      <c r="B905" s="14"/>
      <c r="J905" s="14"/>
    </row>
    <row r="906">
      <c r="B906" s="14"/>
      <c r="J906" s="14"/>
    </row>
    <row r="907">
      <c r="B907" s="14"/>
      <c r="J907" s="14"/>
    </row>
    <row r="908">
      <c r="B908" s="14"/>
      <c r="J908" s="14"/>
    </row>
    <row r="909">
      <c r="B909" s="14"/>
      <c r="J909" s="14"/>
    </row>
    <row r="910">
      <c r="B910" s="14"/>
      <c r="J910" s="14"/>
    </row>
    <row r="911">
      <c r="B911" s="14"/>
      <c r="J911" s="14"/>
    </row>
    <row r="912">
      <c r="B912" s="14"/>
      <c r="J912" s="14"/>
    </row>
    <row r="913">
      <c r="B913" s="14"/>
      <c r="J913" s="14"/>
    </row>
    <row r="914">
      <c r="B914" s="14"/>
      <c r="J914" s="14"/>
    </row>
    <row r="915">
      <c r="B915" s="14"/>
      <c r="J915" s="14"/>
    </row>
    <row r="916">
      <c r="B916" s="14"/>
      <c r="J916" s="14"/>
    </row>
    <row r="917">
      <c r="B917" s="14"/>
      <c r="J917" s="14"/>
    </row>
    <row r="918">
      <c r="B918" s="14"/>
      <c r="J918" s="14"/>
    </row>
    <row r="919">
      <c r="B919" s="14"/>
      <c r="J919" s="14"/>
    </row>
    <row r="920">
      <c r="B920" s="14"/>
      <c r="J920" s="14"/>
    </row>
    <row r="921">
      <c r="B921" s="14"/>
      <c r="J921" s="14"/>
    </row>
    <row r="922">
      <c r="B922" s="14"/>
      <c r="J922" s="14"/>
    </row>
    <row r="923">
      <c r="B923" s="14"/>
      <c r="J923" s="14"/>
    </row>
    <row r="924">
      <c r="B924" s="14"/>
      <c r="J924" s="14"/>
    </row>
    <row r="925">
      <c r="B925" s="14"/>
      <c r="J925" s="14"/>
    </row>
    <row r="926">
      <c r="B926" s="14"/>
      <c r="J926" s="14"/>
    </row>
    <row r="927">
      <c r="B927" s="14"/>
      <c r="J927" s="14"/>
    </row>
    <row r="928">
      <c r="B928" s="14"/>
      <c r="J928" s="14"/>
    </row>
    <row r="929">
      <c r="B929" s="14"/>
      <c r="J929" s="14"/>
    </row>
    <row r="930">
      <c r="B930" s="14"/>
      <c r="J930" s="14"/>
    </row>
    <row r="931">
      <c r="B931" s="14"/>
      <c r="J931" s="14"/>
    </row>
    <row r="932">
      <c r="B932" s="14"/>
      <c r="J932" s="14"/>
    </row>
    <row r="933">
      <c r="B933" s="14"/>
      <c r="J933" s="14"/>
    </row>
    <row r="934">
      <c r="B934" s="14"/>
      <c r="J934" s="14"/>
    </row>
    <row r="935">
      <c r="B935" s="14"/>
      <c r="J935" s="14"/>
    </row>
    <row r="936">
      <c r="B936" s="14"/>
      <c r="J936" s="14"/>
    </row>
    <row r="937">
      <c r="B937" s="14"/>
      <c r="J937" s="14"/>
    </row>
    <row r="938">
      <c r="B938" s="14"/>
      <c r="J938" s="14"/>
    </row>
    <row r="939">
      <c r="B939" s="14"/>
      <c r="J939" s="14"/>
    </row>
    <row r="940">
      <c r="B940" s="14"/>
      <c r="J940" s="14"/>
    </row>
    <row r="941">
      <c r="B941" s="14"/>
      <c r="J941" s="14"/>
    </row>
    <row r="942">
      <c r="B942" s="14"/>
      <c r="J942" s="14"/>
    </row>
    <row r="943">
      <c r="B943" s="14"/>
      <c r="J943" s="14"/>
    </row>
    <row r="944">
      <c r="B944" s="14"/>
      <c r="J944" s="14"/>
    </row>
    <row r="945">
      <c r="B945" s="14"/>
      <c r="J945" s="14"/>
    </row>
    <row r="946">
      <c r="B946" s="14"/>
      <c r="J946" s="14"/>
    </row>
    <row r="947">
      <c r="B947" s="14"/>
      <c r="J947" s="14"/>
    </row>
    <row r="948">
      <c r="B948" s="14"/>
      <c r="J948" s="14"/>
    </row>
    <row r="949">
      <c r="B949" s="14"/>
      <c r="J949" s="14"/>
    </row>
    <row r="950">
      <c r="B950" s="14"/>
      <c r="J950" s="14"/>
    </row>
    <row r="951">
      <c r="B951" s="14"/>
      <c r="J951" s="14"/>
    </row>
    <row r="952">
      <c r="B952" s="14"/>
      <c r="J952" s="14"/>
    </row>
    <row r="953">
      <c r="B953" s="14"/>
      <c r="J953" s="14"/>
    </row>
    <row r="954">
      <c r="B954" s="14"/>
      <c r="J954" s="14"/>
    </row>
    <row r="955">
      <c r="B955" s="14"/>
      <c r="J955" s="14"/>
    </row>
    <row r="956">
      <c r="B956" s="14"/>
      <c r="J956" s="14"/>
    </row>
    <row r="957">
      <c r="B957" s="14"/>
      <c r="J957" s="14"/>
    </row>
    <row r="958">
      <c r="B958" s="14"/>
      <c r="J958" s="14"/>
    </row>
    <row r="959">
      <c r="B959" s="14"/>
      <c r="J959" s="14"/>
    </row>
    <row r="960">
      <c r="B960" s="14"/>
      <c r="J960" s="14"/>
    </row>
    <row r="961">
      <c r="B961" s="14"/>
      <c r="J961" s="14"/>
    </row>
    <row r="962">
      <c r="B962" s="14"/>
      <c r="J962" s="14"/>
    </row>
    <row r="963">
      <c r="B963" s="14"/>
      <c r="J963" s="14"/>
    </row>
    <row r="964">
      <c r="B964" s="14"/>
      <c r="J964" s="14"/>
    </row>
    <row r="965">
      <c r="B965" s="14"/>
      <c r="J965" s="14"/>
    </row>
    <row r="966">
      <c r="B966" s="14"/>
      <c r="J966" s="14"/>
    </row>
    <row r="967">
      <c r="B967" s="14"/>
      <c r="J967" s="14"/>
    </row>
    <row r="968">
      <c r="B968" s="14"/>
      <c r="J968" s="14"/>
    </row>
    <row r="969">
      <c r="B969" s="14"/>
      <c r="J969" s="14"/>
    </row>
    <row r="970">
      <c r="B970" s="14"/>
      <c r="J970" s="14"/>
    </row>
    <row r="971">
      <c r="B971" s="14"/>
      <c r="J971" s="14"/>
    </row>
    <row r="972">
      <c r="B972" s="14"/>
      <c r="J972" s="14"/>
    </row>
    <row r="973">
      <c r="B973" s="14"/>
      <c r="J973" s="14"/>
    </row>
    <row r="974">
      <c r="B974" s="14"/>
      <c r="J974" s="14"/>
    </row>
    <row r="975">
      <c r="B975" s="14"/>
      <c r="J975" s="14"/>
    </row>
    <row r="976">
      <c r="B976" s="14"/>
      <c r="J976" s="14"/>
    </row>
    <row r="977">
      <c r="B977" s="14"/>
      <c r="J977" s="14"/>
    </row>
    <row r="978">
      <c r="B978" s="14"/>
      <c r="J978" s="14"/>
    </row>
    <row r="979">
      <c r="B979" s="14"/>
      <c r="J979" s="14"/>
    </row>
    <row r="980">
      <c r="B980" s="14"/>
      <c r="J980" s="14"/>
    </row>
    <row r="981">
      <c r="B981" s="14"/>
      <c r="J981" s="14"/>
    </row>
    <row r="982">
      <c r="B982" s="14"/>
      <c r="J982" s="14"/>
    </row>
    <row r="983">
      <c r="B983" s="14"/>
      <c r="J983" s="14"/>
    </row>
    <row r="984">
      <c r="B984" s="14"/>
      <c r="J984" s="14"/>
    </row>
    <row r="985">
      <c r="B985" s="14"/>
      <c r="J985" s="14"/>
    </row>
    <row r="986">
      <c r="B986" s="14"/>
      <c r="J986" s="14"/>
    </row>
    <row r="987">
      <c r="B987" s="14"/>
      <c r="J987" s="14"/>
    </row>
    <row r="988">
      <c r="B988" s="14"/>
      <c r="J988" s="14"/>
    </row>
    <row r="989">
      <c r="B989" s="14"/>
      <c r="J989" s="14"/>
    </row>
    <row r="990">
      <c r="B990" s="14"/>
      <c r="J990" s="14"/>
    </row>
    <row r="991">
      <c r="B991" s="14"/>
      <c r="J991" s="14"/>
    </row>
    <row r="992">
      <c r="B992" s="14"/>
      <c r="J992" s="14"/>
    </row>
    <row r="993">
      <c r="B993" s="14"/>
      <c r="J993" s="14"/>
    </row>
    <row r="994">
      <c r="B994" s="14"/>
      <c r="J994" s="14"/>
    </row>
    <row r="995">
      <c r="B995" s="14"/>
      <c r="J995" s="14"/>
    </row>
    <row r="996">
      <c r="B996" s="14"/>
      <c r="J996" s="14"/>
    </row>
    <row r="997">
      <c r="B997" s="14"/>
      <c r="J997" s="14"/>
    </row>
    <row r="998">
      <c r="B998" s="14"/>
      <c r="J998" s="14"/>
    </row>
    <row r="999">
      <c r="B999" s="14"/>
      <c r="J999" s="14"/>
    </row>
  </sheetData>
  <mergeCells count="1">
    <mergeCell ref="A2:A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2" max="2" width="7.67"/>
    <col customWidth="1" min="3" max="3" width="19.56"/>
    <col customWidth="1" min="4" max="4" width="45.33"/>
    <col customWidth="1" min="5" max="6" width="23.44"/>
    <col customWidth="1" min="7" max="7" width="44.44"/>
    <col customWidth="1" min="8" max="8" width="32.22"/>
    <col customWidth="1" min="9" max="9" width="34.33"/>
    <col customWidth="1" min="10" max="10" width="16.44"/>
    <col customWidth="1" min="11" max="11" width="62.22"/>
  </cols>
  <sheetData>
    <row r="1">
      <c r="A1" s="7" t="s">
        <v>0</v>
      </c>
      <c r="B1" s="8" t="s">
        <v>1</v>
      </c>
      <c r="C1" s="8" t="s">
        <v>2</v>
      </c>
      <c r="D1" s="8" t="s">
        <v>3</v>
      </c>
      <c r="E1" s="8" t="s">
        <v>4</v>
      </c>
      <c r="F1" s="8" t="s">
        <v>5</v>
      </c>
      <c r="G1" s="8" t="s">
        <v>6</v>
      </c>
      <c r="H1" s="7" t="s">
        <v>7</v>
      </c>
      <c r="I1" s="7" t="s">
        <v>8</v>
      </c>
      <c r="J1" s="15" t="s">
        <v>87</v>
      </c>
      <c r="K1" s="7" t="s">
        <v>9</v>
      </c>
      <c r="M1" s="9"/>
      <c r="N1" s="9"/>
      <c r="O1" s="9"/>
      <c r="P1" s="9"/>
      <c r="Q1" s="9"/>
      <c r="R1" s="9"/>
      <c r="S1" s="9"/>
      <c r="T1" s="9"/>
      <c r="U1" s="9"/>
      <c r="V1" s="9"/>
      <c r="W1" s="9"/>
      <c r="X1" s="9"/>
      <c r="Y1" s="9"/>
      <c r="Z1" s="9"/>
      <c r="AA1" s="9"/>
    </row>
    <row r="2">
      <c r="A2" s="16" t="s">
        <v>138</v>
      </c>
      <c r="B2" s="17">
        <v>1.0</v>
      </c>
      <c r="C2" s="5" t="s">
        <v>139</v>
      </c>
      <c r="D2" s="5" t="s">
        <v>140</v>
      </c>
      <c r="E2" s="5" t="s">
        <v>141</v>
      </c>
      <c r="F2" s="5" t="s">
        <v>142</v>
      </c>
      <c r="G2" s="5" t="s">
        <v>143</v>
      </c>
      <c r="H2" s="5" t="s">
        <v>144</v>
      </c>
      <c r="I2" s="5" t="s">
        <v>145</v>
      </c>
      <c r="J2" s="6" t="s">
        <v>96</v>
      </c>
      <c r="K2" s="5" t="s">
        <v>146</v>
      </c>
    </row>
    <row r="3">
      <c r="B3" s="17">
        <v>2.0</v>
      </c>
      <c r="C3" s="5" t="s">
        <v>147</v>
      </c>
      <c r="D3" s="5" t="s">
        <v>148</v>
      </c>
      <c r="E3" s="5" t="s">
        <v>149</v>
      </c>
      <c r="F3" s="5" t="s">
        <v>150</v>
      </c>
      <c r="G3" s="5" t="s">
        <v>151</v>
      </c>
      <c r="H3" s="5" t="s">
        <v>152</v>
      </c>
      <c r="I3" s="5" t="s">
        <v>153</v>
      </c>
      <c r="J3" s="6" t="s">
        <v>96</v>
      </c>
      <c r="K3" s="5" t="s">
        <v>154</v>
      </c>
    </row>
    <row r="4">
      <c r="B4" s="17">
        <v>3.0</v>
      </c>
      <c r="C4" s="5" t="s">
        <v>155</v>
      </c>
      <c r="D4" s="5" t="s">
        <v>156</v>
      </c>
      <c r="E4" s="5" t="s">
        <v>157</v>
      </c>
      <c r="F4" s="5" t="s">
        <v>158</v>
      </c>
      <c r="G4" s="5" t="s">
        <v>159</v>
      </c>
      <c r="H4" s="5" t="s">
        <v>160</v>
      </c>
      <c r="I4" s="5" t="s">
        <v>161</v>
      </c>
      <c r="J4" s="6" t="s">
        <v>96</v>
      </c>
      <c r="K4" s="5" t="s">
        <v>162</v>
      </c>
    </row>
    <row r="5">
      <c r="B5" s="17">
        <v>4.0</v>
      </c>
      <c r="C5" s="5" t="s">
        <v>163</v>
      </c>
      <c r="D5" s="5" t="s">
        <v>164</v>
      </c>
      <c r="E5" s="5" t="s">
        <v>165</v>
      </c>
      <c r="F5" s="5" t="s">
        <v>166</v>
      </c>
      <c r="G5" s="5" t="s">
        <v>167</v>
      </c>
      <c r="H5" s="5" t="s">
        <v>168</v>
      </c>
      <c r="I5" s="5" t="s">
        <v>169</v>
      </c>
      <c r="J5" s="6" t="s">
        <v>96</v>
      </c>
      <c r="K5" s="5" t="s">
        <v>170</v>
      </c>
    </row>
    <row r="6">
      <c r="B6" s="17">
        <v>5.0</v>
      </c>
      <c r="C6" s="5" t="s">
        <v>171</v>
      </c>
      <c r="D6" s="5" t="s">
        <v>172</v>
      </c>
      <c r="E6" s="5" t="s">
        <v>173</v>
      </c>
      <c r="F6" s="5" t="s">
        <v>174</v>
      </c>
      <c r="G6" s="5" t="s">
        <v>175</v>
      </c>
      <c r="H6" s="5" t="s">
        <v>176</v>
      </c>
      <c r="I6" s="5" t="s">
        <v>177</v>
      </c>
      <c r="J6" s="6" t="s">
        <v>96</v>
      </c>
      <c r="K6" s="5" t="s">
        <v>178</v>
      </c>
    </row>
    <row r="7">
      <c r="B7" s="17">
        <v>6.0</v>
      </c>
      <c r="C7" s="5" t="s">
        <v>179</v>
      </c>
      <c r="D7" s="5" t="s">
        <v>180</v>
      </c>
      <c r="E7" s="5" t="s">
        <v>181</v>
      </c>
      <c r="F7" s="5" t="s">
        <v>182</v>
      </c>
      <c r="G7" s="5" t="s">
        <v>183</v>
      </c>
      <c r="H7" s="5" t="s">
        <v>184</v>
      </c>
      <c r="I7" s="5" t="s">
        <v>185</v>
      </c>
      <c r="J7" s="6" t="s">
        <v>96</v>
      </c>
      <c r="K7" s="5" t="s">
        <v>186</v>
      </c>
    </row>
    <row r="8">
      <c r="B8" s="14"/>
      <c r="J8" s="11"/>
    </row>
    <row r="9">
      <c r="B9" s="14"/>
      <c r="J9" s="11"/>
    </row>
    <row r="10">
      <c r="B10" s="14"/>
      <c r="J10" s="11"/>
    </row>
    <row r="11">
      <c r="B11" s="14"/>
      <c r="J11" s="11"/>
    </row>
    <row r="12">
      <c r="B12" s="14"/>
      <c r="J12" s="11"/>
    </row>
    <row r="13">
      <c r="B13" s="14"/>
      <c r="J13" s="11"/>
    </row>
    <row r="14">
      <c r="B14" s="14"/>
      <c r="J14" s="11"/>
    </row>
    <row r="15">
      <c r="B15" s="14"/>
      <c r="J15" s="11"/>
    </row>
    <row r="16">
      <c r="B16" s="14"/>
      <c r="J16" s="11"/>
    </row>
    <row r="17">
      <c r="B17" s="14"/>
      <c r="J17" s="11"/>
    </row>
    <row r="18">
      <c r="B18" s="14"/>
      <c r="J18" s="11"/>
    </row>
    <row r="19">
      <c r="B19" s="14"/>
      <c r="J19" s="11"/>
    </row>
    <row r="20">
      <c r="B20" s="14"/>
      <c r="J20" s="11"/>
    </row>
    <row r="21">
      <c r="B21" s="14"/>
      <c r="J21" s="11"/>
    </row>
    <row r="22">
      <c r="B22" s="14"/>
      <c r="J22" s="11"/>
    </row>
    <row r="23">
      <c r="B23" s="14"/>
      <c r="J23" s="11"/>
    </row>
    <row r="24">
      <c r="B24" s="14"/>
      <c r="J24" s="11"/>
    </row>
    <row r="25">
      <c r="B25" s="14"/>
      <c r="J25" s="11"/>
    </row>
    <row r="26">
      <c r="B26" s="14"/>
      <c r="J26" s="11"/>
    </row>
    <row r="27">
      <c r="B27" s="14"/>
      <c r="J27" s="11"/>
    </row>
    <row r="28">
      <c r="B28" s="14"/>
      <c r="J28" s="11"/>
    </row>
    <row r="29">
      <c r="B29" s="14"/>
      <c r="J29" s="11"/>
    </row>
    <row r="30">
      <c r="B30" s="14"/>
      <c r="J30" s="11"/>
    </row>
    <row r="31">
      <c r="B31" s="14"/>
      <c r="J31" s="11"/>
    </row>
    <row r="32">
      <c r="B32" s="14"/>
      <c r="J32" s="11"/>
    </row>
    <row r="33">
      <c r="B33" s="14"/>
      <c r="J33" s="11"/>
    </row>
    <row r="34">
      <c r="B34" s="14"/>
      <c r="J34" s="11"/>
    </row>
    <row r="35">
      <c r="B35" s="14"/>
      <c r="J35" s="11"/>
    </row>
    <row r="36">
      <c r="B36" s="14"/>
      <c r="J36" s="11"/>
    </row>
    <row r="37">
      <c r="B37" s="14"/>
      <c r="J37" s="11"/>
    </row>
    <row r="38">
      <c r="B38" s="14"/>
      <c r="J38" s="11"/>
    </row>
    <row r="39">
      <c r="B39" s="14"/>
      <c r="J39" s="11"/>
    </row>
    <row r="40">
      <c r="B40" s="14"/>
      <c r="J40" s="11"/>
    </row>
    <row r="41">
      <c r="B41" s="14"/>
      <c r="J41" s="11"/>
    </row>
    <row r="42">
      <c r="B42" s="14"/>
      <c r="J42" s="11"/>
    </row>
    <row r="43">
      <c r="B43" s="14"/>
      <c r="J43" s="11"/>
    </row>
    <row r="44">
      <c r="B44" s="14"/>
      <c r="J44" s="11"/>
    </row>
    <row r="45">
      <c r="B45" s="14"/>
      <c r="J45" s="11"/>
    </row>
    <row r="46">
      <c r="B46" s="14"/>
      <c r="J46" s="11"/>
    </row>
    <row r="47">
      <c r="B47" s="14"/>
      <c r="J47" s="11"/>
    </row>
    <row r="48">
      <c r="B48" s="14"/>
      <c r="J48" s="11"/>
    </row>
    <row r="49">
      <c r="B49" s="14"/>
      <c r="J49" s="11"/>
    </row>
    <row r="50">
      <c r="B50" s="14"/>
      <c r="J50" s="11"/>
    </row>
    <row r="51">
      <c r="B51" s="14"/>
      <c r="J51" s="11"/>
    </row>
    <row r="52">
      <c r="B52" s="14"/>
      <c r="J52" s="11"/>
    </row>
    <row r="53">
      <c r="B53" s="14"/>
      <c r="J53" s="11"/>
    </row>
    <row r="54">
      <c r="B54" s="14"/>
      <c r="J54" s="11"/>
    </row>
    <row r="55">
      <c r="B55" s="14"/>
      <c r="J55" s="11"/>
    </row>
    <row r="56">
      <c r="B56" s="14"/>
      <c r="J56" s="11"/>
    </row>
    <row r="57">
      <c r="B57" s="14"/>
      <c r="J57" s="11"/>
    </row>
    <row r="58">
      <c r="B58" s="14"/>
      <c r="J58" s="11"/>
    </row>
    <row r="59">
      <c r="B59" s="14"/>
      <c r="J59" s="11"/>
    </row>
    <row r="60">
      <c r="B60" s="14"/>
      <c r="J60" s="11"/>
    </row>
    <row r="61">
      <c r="B61" s="14"/>
      <c r="J61" s="11"/>
    </row>
    <row r="62">
      <c r="B62" s="14"/>
      <c r="J62" s="11"/>
    </row>
    <row r="63">
      <c r="B63" s="14"/>
      <c r="J63" s="11"/>
    </row>
    <row r="64">
      <c r="B64" s="14"/>
      <c r="J64" s="11"/>
    </row>
    <row r="65">
      <c r="B65" s="14"/>
      <c r="J65" s="11"/>
    </row>
    <row r="66">
      <c r="B66" s="14"/>
      <c r="J66" s="11"/>
    </row>
    <row r="67">
      <c r="B67" s="14"/>
      <c r="J67" s="11"/>
    </row>
    <row r="68">
      <c r="B68" s="14"/>
      <c r="J68" s="11"/>
    </row>
    <row r="69">
      <c r="B69" s="14"/>
      <c r="J69" s="11"/>
    </row>
    <row r="70">
      <c r="B70" s="14"/>
      <c r="J70" s="11"/>
    </row>
    <row r="71">
      <c r="B71" s="14"/>
      <c r="J71" s="11"/>
    </row>
    <row r="72">
      <c r="B72" s="14"/>
      <c r="J72" s="11"/>
    </row>
    <row r="73">
      <c r="B73" s="14"/>
      <c r="J73" s="11"/>
    </row>
    <row r="74">
      <c r="B74" s="14"/>
      <c r="J74" s="11"/>
    </row>
    <row r="75">
      <c r="B75" s="14"/>
      <c r="J75" s="11"/>
    </row>
    <row r="76">
      <c r="B76" s="14"/>
      <c r="J76" s="11"/>
    </row>
    <row r="77">
      <c r="B77" s="14"/>
      <c r="J77" s="11"/>
    </row>
    <row r="78">
      <c r="B78" s="14"/>
      <c r="J78" s="11"/>
    </row>
    <row r="79">
      <c r="B79" s="14"/>
      <c r="J79" s="11"/>
    </row>
    <row r="80">
      <c r="B80" s="14"/>
      <c r="J80" s="11"/>
    </row>
    <row r="81">
      <c r="B81" s="14"/>
      <c r="J81" s="11"/>
    </row>
    <row r="82">
      <c r="B82" s="14"/>
      <c r="J82" s="11"/>
    </row>
    <row r="83">
      <c r="B83" s="14"/>
      <c r="J83" s="11"/>
    </row>
    <row r="84">
      <c r="B84" s="14"/>
      <c r="J84" s="11"/>
    </row>
    <row r="85">
      <c r="B85" s="14"/>
      <c r="J85" s="11"/>
    </row>
    <row r="86">
      <c r="B86" s="14"/>
      <c r="J86" s="11"/>
    </row>
    <row r="87">
      <c r="B87" s="14"/>
      <c r="J87" s="11"/>
    </row>
    <row r="88">
      <c r="B88" s="14"/>
      <c r="J88" s="11"/>
    </row>
    <row r="89">
      <c r="B89" s="14"/>
      <c r="J89" s="11"/>
    </row>
    <row r="90">
      <c r="B90" s="14"/>
      <c r="J90" s="11"/>
    </row>
    <row r="91">
      <c r="B91" s="14"/>
      <c r="J91" s="11"/>
    </row>
    <row r="92">
      <c r="B92" s="14"/>
      <c r="J92" s="11"/>
    </row>
    <row r="93">
      <c r="B93" s="14"/>
      <c r="J93" s="11"/>
    </row>
    <row r="94">
      <c r="B94" s="14"/>
      <c r="J94" s="11"/>
    </row>
    <row r="95">
      <c r="B95" s="14"/>
      <c r="J95" s="11"/>
    </row>
    <row r="96">
      <c r="B96" s="14"/>
      <c r="J96" s="11"/>
    </row>
    <row r="97">
      <c r="B97" s="14"/>
      <c r="J97" s="11"/>
    </row>
    <row r="98">
      <c r="B98" s="14"/>
      <c r="J98" s="11"/>
    </row>
    <row r="99">
      <c r="B99" s="14"/>
      <c r="J99" s="11"/>
    </row>
    <row r="100">
      <c r="B100" s="14"/>
      <c r="J100" s="11"/>
    </row>
    <row r="101">
      <c r="B101" s="14"/>
      <c r="J101" s="11"/>
    </row>
    <row r="102">
      <c r="B102" s="14"/>
      <c r="J102" s="11"/>
    </row>
    <row r="103">
      <c r="B103" s="14"/>
      <c r="J103" s="11"/>
    </row>
    <row r="104">
      <c r="B104" s="14"/>
      <c r="J104" s="11"/>
    </row>
    <row r="105">
      <c r="B105" s="14"/>
      <c r="J105" s="11"/>
    </row>
    <row r="106">
      <c r="B106" s="14"/>
      <c r="J106" s="11"/>
    </row>
    <row r="107">
      <c r="B107" s="14"/>
      <c r="J107" s="11"/>
    </row>
    <row r="108">
      <c r="B108" s="14"/>
      <c r="J108" s="11"/>
    </row>
    <row r="109">
      <c r="B109" s="14"/>
      <c r="J109" s="11"/>
    </row>
    <row r="110">
      <c r="B110" s="14"/>
      <c r="J110" s="11"/>
    </row>
    <row r="111">
      <c r="B111" s="14"/>
      <c r="J111" s="11"/>
    </row>
    <row r="112">
      <c r="B112" s="14"/>
      <c r="J112" s="11"/>
    </row>
    <row r="113">
      <c r="B113" s="14"/>
      <c r="J113" s="11"/>
    </row>
    <row r="114">
      <c r="B114" s="14"/>
      <c r="J114" s="11"/>
    </row>
    <row r="115">
      <c r="B115" s="14"/>
      <c r="J115" s="11"/>
    </row>
    <row r="116">
      <c r="B116" s="14"/>
      <c r="J116" s="11"/>
    </row>
    <row r="117">
      <c r="B117" s="14"/>
      <c r="J117" s="11"/>
    </row>
    <row r="118">
      <c r="B118" s="14"/>
      <c r="J118" s="11"/>
    </row>
    <row r="119">
      <c r="B119" s="14"/>
      <c r="J119" s="11"/>
    </row>
    <row r="120">
      <c r="B120" s="14"/>
      <c r="J120" s="11"/>
    </row>
    <row r="121">
      <c r="B121" s="14"/>
      <c r="J121" s="11"/>
    </row>
    <row r="122">
      <c r="B122" s="14"/>
      <c r="J122" s="11"/>
    </row>
    <row r="123">
      <c r="B123" s="14"/>
      <c r="J123" s="11"/>
    </row>
    <row r="124">
      <c r="B124" s="14"/>
      <c r="J124" s="11"/>
    </row>
    <row r="125">
      <c r="B125" s="14"/>
      <c r="J125" s="11"/>
    </row>
    <row r="126">
      <c r="B126" s="14"/>
      <c r="J126" s="11"/>
    </row>
    <row r="127">
      <c r="B127" s="14"/>
      <c r="J127" s="11"/>
    </row>
    <row r="128">
      <c r="B128" s="14"/>
      <c r="J128" s="11"/>
    </row>
    <row r="129">
      <c r="B129" s="14"/>
      <c r="J129" s="11"/>
    </row>
    <row r="130">
      <c r="B130" s="14"/>
      <c r="J130" s="11"/>
    </row>
    <row r="131">
      <c r="B131" s="14"/>
      <c r="J131" s="11"/>
    </row>
    <row r="132">
      <c r="B132" s="14"/>
      <c r="J132" s="11"/>
    </row>
    <row r="133">
      <c r="B133" s="14"/>
      <c r="J133" s="11"/>
    </row>
    <row r="134">
      <c r="B134" s="14"/>
      <c r="J134" s="11"/>
    </row>
    <row r="135">
      <c r="B135" s="14"/>
      <c r="J135" s="11"/>
    </row>
    <row r="136">
      <c r="B136" s="14"/>
      <c r="J136" s="11"/>
    </row>
    <row r="137">
      <c r="B137" s="14"/>
      <c r="J137" s="11"/>
    </row>
    <row r="138">
      <c r="B138" s="14"/>
      <c r="J138" s="11"/>
    </row>
    <row r="139">
      <c r="B139" s="14"/>
      <c r="J139" s="11"/>
    </row>
    <row r="140">
      <c r="B140" s="14"/>
      <c r="J140" s="11"/>
    </row>
    <row r="141">
      <c r="B141" s="14"/>
      <c r="J141" s="11"/>
    </row>
    <row r="142">
      <c r="B142" s="14"/>
      <c r="J142" s="11"/>
    </row>
    <row r="143">
      <c r="B143" s="14"/>
      <c r="J143" s="11"/>
    </row>
    <row r="144">
      <c r="B144" s="14"/>
      <c r="J144" s="11"/>
    </row>
    <row r="145">
      <c r="B145" s="14"/>
      <c r="J145" s="11"/>
    </row>
    <row r="146">
      <c r="B146" s="14"/>
      <c r="J146" s="11"/>
    </row>
    <row r="147">
      <c r="B147" s="14"/>
      <c r="J147" s="11"/>
    </row>
    <row r="148">
      <c r="B148" s="14"/>
      <c r="J148" s="11"/>
    </row>
    <row r="149">
      <c r="B149" s="14"/>
      <c r="J149" s="11"/>
    </row>
    <row r="150">
      <c r="B150" s="14"/>
      <c r="J150" s="11"/>
    </row>
    <row r="151">
      <c r="B151" s="14"/>
      <c r="J151" s="11"/>
    </row>
    <row r="152">
      <c r="B152" s="14"/>
      <c r="J152" s="11"/>
    </row>
    <row r="153">
      <c r="B153" s="14"/>
      <c r="J153" s="11"/>
    </row>
    <row r="154">
      <c r="B154" s="14"/>
      <c r="J154" s="11"/>
    </row>
    <row r="155">
      <c r="B155" s="14"/>
      <c r="J155" s="11"/>
    </row>
    <row r="156">
      <c r="B156" s="14"/>
      <c r="J156" s="11"/>
    </row>
    <row r="157">
      <c r="B157" s="14"/>
      <c r="J157" s="11"/>
    </row>
    <row r="158">
      <c r="B158" s="14"/>
      <c r="J158" s="11"/>
    </row>
    <row r="159">
      <c r="B159" s="14"/>
      <c r="J159" s="11"/>
    </row>
    <row r="160">
      <c r="B160" s="14"/>
      <c r="J160" s="11"/>
    </row>
    <row r="161">
      <c r="B161" s="14"/>
      <c r="J161" s="11"/>
    </row>
    <row r="162">
      <c r="B162" s="14"/>
      <c r="J162" s="11"/>
    </row>
    <row r="163">
      <c r="B163" s="14"/>
      <c r="J163" s="11"/>
    </row>
    <row r="164">
      <c r="B164" s="14"/>
      <c r="J164" s="11"/>
    </row>
    <row r="165">
      <c r="B165" s="14"/>
      <c r="J165" s="11"/>
    </row>
    <row r="166">
      <c r="B166" s="14"/>
      <c r="J166" s="11"/>
    </row>
    <row r="167">
      <c r="B167" s="14"/>
      <c r="J167" s="11"/>
    </row>
    <row r="168">
      <c r="B168" s="14"/>
      <c r="J168" s="11"/>
    </row>
    <row r="169">
      <c r="B169" s="14"/>
      <c r="J169" s="11"/>
    </row>
    <row r="170">
      <c r="B170" s="14"/>
      <c r="J170" s="11"/>
    </row>
    <row r="171">
      <c r="B171" s="14"/>
      <c r="J171" s="11"/>
    </row>
    <row r="172">
      <c r="B172" s="14"/>
      <c r="J172" s="11"/>
    </row>
    <row r="173">
      <c r="B173" s="14"/>
      <c r="J173" s="11"/>
    </row>
    <row r="174">
      <c r="B174" s="14"/>
      <c r="J174" s="11"/>
    </row>
    <row r="175">
      <c r="B175" s="14"/>
      <c r="J175" s="11"/>
    </row>
    <row r="176">
      <c r="B176" s="14"/>
      <c r="J176" s="11"/>
    </row>
    <row r="177">
      <c r="B177" s="14"/>
      <c r="J177" s="11"/>
    </row>
    <row r="178">
      <c r="B178" s="14"/>
      <c r="J178" s="11"/>
    </row>
    <row r="179">
      <c r="B179" s="14"/>
      <c r="J179" s="11"/>
    </row>
    <row r="180">
      <c r="B180" s="14"/>
      <c r="J180" s="11"/>
    </row>
    <row r="181">
      <c r="B181" s="14"/>
      <c r="J181" s="11"/>
    </row>
    <row r="182">
      <c r="B182" s="14"/>
      <c r="J182" s="11"/>
    </row>
    <row r="183">
      <c r="B183" s="14"/>
      <c r="J183" s="11"/>
    </row>
    <row r="184">
      <c r="B184" s="14"/>
      <c r="J184" s="11"/>
    </row>
    <row r="185">
      <c r="B185" s="14"/>
      <c r="J185" s="11"/>
    </row>
    <row r="186">
      <c r="B186" s="14"/>
      <c r="J186" s="11"/>
    </row>
    <row r="187">
      <c r="B187" s="14"/>
      <c r="J187" s="11"/>
    </row>
    <row r="188">
      <c r="B188" s="14"/>
      <c r="J188" s="11"/>
    </row>
    <row r="189">
      <c r="B189" s="14"/>
      <c r="J189" s="11"/>
    </row>
    <row r="190">
      <c r="B190" s="14"/>
      <c r="J190" s="11"/>
    </row>
    <row r="191">
      <c r="B191" s="14"/>
      <c r="J191" s="11"/>
    </row>
    <row r="192">
      <c r="B192" s="14"/>
      <c r="J192" s="11"/>
    </row>
    <row r="193">
      <c r="B193" s="14"/>
      <c r="J193" s="11"/>
    </row>
    <row r="194">
      <c r="B194" s="14"/>
      <c r="J194" s="11"/>
    </row>
    <row r="195">
      <c r="B195" s="14"/>
      <c r="J195" s="11"/>
    </row>
    <row r="196">
      <c r="B196" s="14"/>
      <c r="J196" s="11"/>
    </row>
    <row r="197">
      <c r="B197" s="14"/>
      <c r="J197" s="11"/>
    </row>
    <row r="198">
      <c r="B198" s="14"/>
      <c r="J198" s="11"/>
    </row>
    <row r="199">
      <c r="B199" s="14"/>
      <c r="J199" s="11"/>
    </row>
    <row r="200">
      <c r="B200" s="14"/>
      <c r="J200" s="11"/>
    </row>
    <row r="201">
      <c r="B201" s="14"/>
      <c r="J201" s="11"/>
    </row>
    <row r="202">
      <c r="B202" s="14"/>
      <c r="J202" s="11"/>
    </row>
    <row r="203">
      <c r="B203" s="14"/>
      <c r="J203" s="11"/>
    </row>
    <row r="204">
      <c r="B204" s="14"/>
      <c r="J204" s="11"/>
    </row>
    <row r="205">
      <c r="B205" s="14"/>
      <c r="J205" s="11"/>
    </row>
    <row r="206">
      <c r="B206" s="14"/>
      <c r="J206" s="11"/>
    </row>
    <row r="207">
      <c r="B207" s="14"/>
      <c r="J207" s="11"/>
    </row>
    <row r="208">
      <c r="B208" s="14"/>
      <c r="J208" s="11"/>
    </row>
    <row r="209">
      <c r="B209" s="14"/>
      <c r="J209" s="11"/>
    </row>
    <row r="210">
      <c r="B210" s="14"/>
      <c r="J210" s="11"/>
    </row>
    <row r="211">
      <c r="B211" s="14"/>
      <c r="J211" s="11"/>
    </row>
    <row r="212">
      <c r="B212" s="14"/>
      <c r="J212" s="11"/>
    </row>
    <row r="213">
      <c r="B213" s="14"/>
      <c r="J213" s="11"/>
    </row>
    <row r="214">
      <c r="B214" s="14"/>
      <c r="J214" s="11"/>
    </row>
    <row r="215">
      <c r="B215" s="14"/>
      <c r="J215" s="11"/>
    </row>
    <row r="216">
      <c r="B216" s="14"/>
      <c r="J216" s="11"/>
    </row>
    <row r="217">
      <c r="B217" s="14"/>
      <c r="J217" s="11"/>
    </row>
    <row r="218">
      <c r="B218" s="14"/>
      <c r="J218" s="11"/>
    </row>
    <row r="219">
      <c r="B219" s="14"/>
      <c r="J219" s="11"/>
    </row>
    <row r="220">
      <c r="B220" s="14"/>
      <c r="J220" s="11"/>
    </row>
    <row r="221">
      <c r="B221" s="14"/>
      <c r="J221" s="11"/>
    </row>
    <row r="222">
      <c r="B222" s="14"/>
      <c r="J222" s="11"/>
    </row>
    <row r="223">
      <c r="B223" s="14"/>
      <c r="J223" s="11"/>
    </row>
    <row r="224">
      <c r="B224" s="14"/>
      <c r="J224" s="11"/>
    </row>
    <row r="225">
      <c r="B225" s="14"/>
      <c r="J225" s="11"/>
    </row>
    <row r="226">
      <c r="B226" s="14"/>
      <c r="J226" s="11"/>
    </row>
    <row r="227">
      <c r="B227" s="14"/>
      <c r="J227" s="11"/>
    </row>
    <row r="228">
      <c r="B228" s="14"/>
      <c r="J228" s="11"/>
    </row>
    <row r="229">
      <c r="B229" s="14"/>
      <c r="J229" s="11"/>
    </row>
    <row r="230">
      <c r="B230" s="14"/>
      <c r="J230" s="11"/>
    </row>
    <row r="231">
      <c r="B231" s="14"/>
      <c r="J231" s="11"/>
    </row>
    <row r="232">
      <c r="B232" s="14"/>
      <c r="J232" s="11"/>
    </row>
    <row r="233">
      <c r="B233" s="14"/>
      <c r="J233" s="11"/>
    </row>
    <row r="234">
      <c r="B234" s="14"/>
      <c r="J234" s="11"/>
    </row>
    <row r="235">
      <c r="B235" s="14"/>
      <c r="J235" s="11"/>
    </row>
    <row r="236">
      <c r="B236" s="14"/>
      <c r="J236" s="11"/>
    </row>
    <row r="237">
      <c r="B237" s="14"/>
      <c r="J237" s="11"/>
    </row>
    <row r="238">
      <c r="B238" s="14"/>
      <c r="J238" s="11"/>
    </row>
    <row r="239">
      <c r="B239" s="14"/>
      <c r="J239" s="11"/>
    </row>
    <row r="240">
      <c r="B240" s="14"/>
      <c r="J240" s="11"/>
    </row>
    <row r="241">
      <c r="B241" s="14"/>
      <c r="J241" s="11"/>
    </row>
    <row r="242">
      <c r="B242" s="14"/>
      <c r="J242" s="11"/>
    </row>
    <row r="243">
      <c r="B243" s="14"/>
      <c r="J243" s="11"/>
    </row>
    <row r="244">
      <c r="B244" s="14"/>
      <c r="J244" s="11"/>
    </row>
    <row r="245">
      <c r="B245" s="14"/>
      <c r="J245" s="11"/>
    </row>
    <row r="246">
      <c r="B246" s="14"/>
      <c r="J246" s="11"/>
    </row>
    <row r="247">
      <c r="B247" s="14"/>
      <c r="J247" s="11"/>
    </row>
    <row r="248">
      <c r="B248" s="14"/>
      <c r="J248" s="11"/>
    </row>
    <row r="249">
      <c r="B249" s="14"/>
      <c r="J249" s="11"/>
    </row>
    <row r="250">
      <c r="B250" s="14"/>
      <c r="J250" s="11"/>
    </row>
    <row r="251">
      <c r="B251" s="14"/>
      <c r="J251" s="11"/>
    </row>
    <row r="252">
      <c r="B252" s="14"/>
      <c r="J252" s="11"/>
    </row>
    <row r="253">
      <c r="B253" s="14"/>
      <c r="J253" s="11"/>
    </row>
    <row r="254">
      <c r="B254" s="14"/>
      <c r="J254" s="11"/>
    </row>
    <row r="255">
      <c r="B255" s="14"/>
      <c r="J255" s="11"/>
    </row>
    <row r="256">
      <c r="B256" s="14"/>
      <c r="J256" s="11"/>
    </row>
    <row r="257">
      <c r="B257" s="14"/>
      <c r="J257" s="11"/>
    </row>
    <row r="258">
      <c r="B258" s="14"/>
      <c r="J258" s="11"/>
    </row>
    <row r="259">
      <c r="B259" s="14"/>
      <c r="J259" s="11"/>
    </row>
    <row r="260">
      <c r="B260" s="14"/>
      <c r="J260" s="11"/>
    </row>
    <row r="261">
      <c r="B261" s="14"/>
      <c r="J261" s="11"/>
    </row>
    <row r="262">
      <c r="B262" s="14"/>
      <c r="J262" s="11"/>
    </row>
    <row r="263">
      <c r="B263" s="14"/>
      <c r="J263" s="11"/>
    </row>
    <row r="264">
      <c r="B264" s="14"/>
      <c r="J264" s="11"/>
    </row>
    <row r="265">
      <c r="B265" s="14"/>
      <c r="J265" s="11"/>
    </row>
    <row r="266">
      <c r="B266" s="14"/>
      <c r="J266" s="11"/>
    </row>
    <row r="267">
      <c r="B267" s="14"/>
      <c r="J267" s="11"/>
    </row>
    <row r="268">
      <c r="B268" s="14"/>
      <c r="J268" s="11"/>
    </row>
    <row r="269">
      <c r="B269" s="14"/>
      <c r="J269" s="11"/>
    </row>
    <row r="270">
      <c r="B270" s="14"/>
      <c r="J270" s="11"/>
    </row>
    <row r="271">
      <c r="B271" s="14"/>
      <c r="J271" s="11"/>
    </row>
    <row r="272">
      <c r="B272" s="14"/>
      <c r="J272" s="11"/>
    </row>
    <row r="273">
      <c r="B273" s="14"/>
      <c r="J273" s="11"/>
    </row>
    <row r="274">
      <c r="B274" s="14"/>
      <c r="J274" s="11"/>
    </row>
    <row r="275">
      <c r="B275" s="14"/>
      <c r="J275" s="11"/>
    </row>
    <row r="276">
      <c r="B276" s="14"/>
      <c r="J276" s="11"/>
    </row>
    <row r="277">
      <c r="B277" s="14"/>
      <c r="J277" s="11"/>
    </row>
    <row r="278">
      <c r="B278" s="14"/>
      <c r="J278" s="11"/>
    </row>
    <row r="279">
      <c r="B279" s="14"/>
      <c r="J279" s="11"/>
    </row>
    <row r="280">
      <c r="B280" s="14"/>
      <c r="J280" s="11"/>
    </row>
    <row r="281">
      <c r="B281" s="14"/>
      <c r="J281" s="11"/>
    </row>
    <row r="282">
      <c r="B282" s="14"/>
      <c r="J282" s="11"/>
    </row>
    <row r="283">
      <c r="B283" s="14"/>
      <c r="J283" s="11"/>
    </row>
    <row r="284">
      <c r="B284" s="14"/>
      <c r="J284" s="11"/>
    </row>
    <row r="285">
      <c r="B285" s="14"/>
      <c r="J285" s="11"/>
    </row>
    <row r="286">
      <c r="B286" s="14"/>
      <c r="J286" s="11"/>
    </row>
    <row r="287">
      <c r="B287" s="14"/>
      <c r="J287" s="11"/>
    </row>
    <row r="288">
      <c r="B288" s="14"/>
      <c r="J288" s="11"/>
    </row>
    <row r="289">
      <c r="B289" s="14"/>
      <c r="J289" s="11"/>
    </row>
    <row r="290">
      <c r="B290" s="14"/>
      <c r="J290" s="11"/>
    </row>
    <row r="291">
      <c r="B291" s="14"/>
      <c r="J291" s="11"/>
    </row>
    <row r="292">
      <c r="B292" s="14"/>
      <c r="J292" s="11"/>
    </row>
    <row r="293">
      <c r="B293" s="14"/>
      <c r="J293" s="11"/>
    </row>
    <row r="294">
      <c r="B294" s="14"/>
      <c r="J294" s="11"/>
    </row>
    <row r="295">
      <c r="B295" s="14"/>
      <c r="J295" s="11"/>
    </row>
    <row r="296">
      <c r="B296" s="14"/>
      <c r="J296" s="11"/>
    </row>
    <row r="297">
      <c r="B297" s="14"/>
      <c r="J297" s="11"/>
    </row>
    <row r="298">
      <c r="B298" s="14"/>
      <c r="J298" s="11"/>
    </row>
    <row r="299">
      <c r="B299" s="14"/>
      <c r="J299" s="11"/>
    </row>
    <row r="300">
      <c r="B300" s="14"/>
      <c r="J300" s="11"/>
    </row>
    <row r="301">
      <c r="B301" s="14"/>
      <c r="J301" s="11"/>
    </row>
    <row r="302">
      <c r="B302" s="14"/>
      <c r="J302" s="11"/>
    </row>
    <row r="303">
      <c r="B303" s="14"/>
      <c r="J303" s="11"/>
    </row>
    <row r="304">
      <c r="B304" s="14"/>
      <c r="J304" s="11"/>
    </row>
    <row r="305">
      <c r="B305" s="14"/>
      <c r="J305" s="11"/>
    </row>
    <row r="306">
      <c r="B306" s="14"/>
      <c r="J306" s="11"/>
    </row>
    <row r="307">
      <c r="B307" s="14"/>
      <c r="J307" s="11"/>
    </row>
    <row r="308">
      <c r="B308" s="14"/>
      <c r="J308" s="11"/>
    </row>
    <row r="309">
      <c r="B309" s="14"/>
      <c r="J309" s="11"/>
    </row>
    <row r="310">
      <c r="B310" s="14"/>
      <c r="J310" s="11"/>
    </row>
    <row r="311">
      <c r="B311" s="14"/>
      <c r="J311" s="11"/>
    </row>
    <row r="312">
      <c r="B312" s="14"/>
      <c r="J312" s="11"/>
    </row>
    <row r="313">
      <c r="B313" s="14"/>
      <c r="J313" s="11"/>
    </row>
    <row r="314">
      <c r="B314" s="14"/>
      <c r="J314" s="11"/>
    </row>
    <row r="315">
      <c r="B315" s="14"/>
      <c r="J315" s="11"/>
    </row>
    <row r="316">
      <c r="B316" s="14"/>
      <c r="J316" s="11"/>
    </row>
    <row r="317">
      <c r="B317" s="14"/>
      <c r="J317" s="11"/>
    </row>
    <row r="318">
      <c r="B318" s="14"/>
      <c r="J318" s="11"/>
    </row>
    <row r="319">
      <c r="B319" s="14"/>
      <c r="J319" s="11"/>
    </row>
    <row r="320">
      <c r="B320" s="14"/>
      <c r="J320" s="11"/>
    </row>
    <row r="321">
      <c r="B321" s="14"/>
      <c r="J321" s="11"/>
    </row>
    <row r="322">
      <c r="B322" s="14"/>
      <c r="J322" s="11"/>
    </row>
    <row r="323">
      <c r="B323" s="14"/>
      <c r="J323" s="11"/>
    </row>
    <row r="324">
      <c r="B324" s="14"/>
      <c r="J324" s="11"/>
    </row>
    <row r="325">
      <c r="B325" s="14"/>
      <c r="J325" s="11"/>
    </row>
    <row r="326">
      <c r="B326" s="14"/>
      <c r="J326" s="11"/>
    </row>
    <row r="327">
      <c r="B327" s="14"/>
      <c r="J327" s="11"/>
    </row>
    <row r="328">
      <c r="B328" s="14"/>
      <c r="J328" s="11"/>
    </row>
    <row r="329">
      <c r="B329" s="14"/>
      <c r="J329" s="11"/>
    </row>
    <row r="330">
      <c r="B330" s="14"/>
      <c r="J330" s="11"/>
    </row>
    <row r="331">
      <c r="B331" s="14"/>
      <c r="J331" s="11"/>
    </row>
    <row r="332">
      <c r="B332" s="14"/>
      <c r="J332" s="11"/>
    </row>
    <row r="333">
      <c r="B333" s="14"/>
      <c r="J333" s="11"/>
    </row>
    <row r="334">
      <c r="B334" s="14"/>
      <c r="J334" s="11"/>
    </row>
    <row r="335">
      <c r="B335" s="14"/>
      <c r="J335" s="11"/>
    </row>
    <row r="336">
      <c r="B336" s="14"/>
      <c r="J336" s="11"/>
    </row>
    <row r="337">
      <c r="B337" s="14"/>
      <c r="J337" s="11"/>
    </row>
    <row r="338">
      <c r="B338" s="14"/>
      <c r="J338" s="11"/>
    </row>
    <row r="339">
      <c r="B339" s="14"/>
      <c r="J339" s="11"/>
    </row>
    <row r="340">
      <c r="B340" s="14"/>
      <c r="J340" s="11"/>
    </row>
    <row r="341">
      <c r="B341" s="14"/>
      <c r="J341" s="11"/>
    </row>
    <row r="342">
      <c r="B342" s="14"/>
      <c r="J342" s="11"/>
    </row>
    <row r="343">
      <c r="B343" s="14"/>
      <c r="J343" s="11"/>
    </row>
    <row r="344">
      <c r="B344" s="14"/>
      <c r="J344" s="11"/>
    </row>
    <row r="345">
      <c r="B345" s="14"/>
      <c r="J345" s="11"/>
    </row>
    <row r="346">
      <c r="B346" s="14"/>
      <c r="J346" s="11"/>
    </row>
    <row r="347">
      <c r="B347" s="14"/>
      <c r="J347" s="11"/>
    </row>
    <row r="348">
      <c r="B348" s="14"/>
      <c r="J348" s="11"/>
    </row>
    <row r="349">
      <c r="B349" s="14"/>
      <c r="J349" s="11"/>
    </row>
    <row r="350">
      <c r="B350" s="14"/>
      <c r="J350" s="11"/>
    </row>
    <row r="351">
      <c r="B351" s="14"/>
      <c r="J351" s="11"/>
    </row>
    <row r="352">
      <c r="B352" s="14"/>
      <c r="J352" s="11"/>
    </row>
    <row r="353">
      <c r="B353" s="14"/>
      <c r="J353" s="11"/>
    </row>
    <row r="354">
      <c r="B354" s="14"/>
      <c r="J354" s="11"/>
    </row>
    <row r="355">
      <c r="B355" s="14"/>
      <c r="J355" s="11"/>
    </row>
    <row r="356">
      <c r="B356" s="14"/>
      <c r="J356" s="11"/>
    </row>
    <row r="357">
      <c r="B357" s="14"/>
      <c r="J357" s="11"/>
    </row>
    <row r="358">
      <c r="B358" s="14"/>
      <c r="J358" s="11"/>
    </row>
    <row r="359">
      <c r="B359" s="14"/>
      <c r="J359" s="11"/>
    </row>
    <row r="360">
      <c r="B360" s="14"/>
      <c r="J360" s="11"/>
    </row>
    <row r="361">
      <c r="B361" s="14"/>
      <c r="J361" s="11"/>
    </row>
    <row r="362">
      <c r="B362" s="14"/>
      <c r="J362" s="11"/>
    </row>
    <row r="363">
      <c r="B363" s="14"/>
      <c r="J363" s="11"/>
    </row>
    <row r="364">
      <c r="B364" s="14"/>
      <c r="J364" s="11"/>
    </row>
    <row r="365">
      <c r="B365" s="14"/>
      <c r="J365" s="11"/>
    </row>
    <row r="366">
      <c r="B366" s="14"/>
      <c r="J366" s="11"/>
    </row>
    <row r="367">
      <c r="B367" s="14"/>
      <c r="J367" s="11"/>
    </row>
    <row r="368">
      <c r="B368" s="14"/>
      <c r="J368" s="11"/>
    </row>
    <row r="369">
      <c r="B369" s="14"/>
      <c r="J369" s="11"/>
    </row>
    <row r="370">
      <c r="B370" s="14"/>
      <c r="J370" s="11"/>
    </row>
    <row r="371">
      <c r="B371" s="14"/>
      <c r="J371" s="11"/>
    </row>
    <row r="372">
      <c r="B372" s="14"/>
      <c r="J372" s="11"/>
    </row>
    <row r="373">
      <c r="B373" s="14"/>
      <c r="J373" s="11"/>
    </row>
    <row r="374">
      <c r="B374" s="14"/>
      <c r="J374" s="11"/>
    </row>
    <row r="375">
      <c r="B375" s="14"/>
      <c r="J375" s="11"/>
    </row>
    <row r="376">
      <c r="B376" s="14"/>
      <c r="J376" s="11"/>
    </row>
    <row r="377">
      <c r="B377" s="14"/>
      <c r="J377" s="11"/>
    </row>
    <row r="378">
      <c r="B378" s="14"/>
      <c r="J378" s="11"/>
    </row>
    <row r="379">
      <c r="B379" s="14"/>
      <c r="J379" s="11"/>
    </row>
    <row r="380">
      <c r="B380" s="14"/>
      <c r="J380" s="11"/>
    </row>
    <row r="381">
      <c r="B381" s="14"/>
      <c r="J381" s="11"/>
    </row>
    <row r="382">
      <c r="B382" s="14"/>
      <c r="J382" s="11"/>
    </row>
    <row r="383">
      <c r="B383" s="14"/>
      <c r="J383" s="11"/>
    </row>
    <row r="384">
      <c r="B384" s="14"/>
      <c r="J384" s="11"/>
    </row>
    <row r="385">
      <c r="B385" s="14"/>
      <c r="J385" s="11"/>
    </row>
    <row r="386">
      <c r="B386" s="14"/>
      <c r="J386" s="11"/>
    </row>
    <row r="387">
      <c r="B387" s="14"/>
      <c r="J387" s="11"/>
    </row>
    <row r="388">
      <c r="B388" s="14"/>
      <c r="J388" s="11"/>
    </row>
    <row r="389">
      <c r="B389" s="14"/>
      <c r="J389" s="11"/>
    </row>
    <row r="390">
      <c r="B390" s="14"/>
      <c r="J390" s="11"/>
    </row>
    <row r="391">
      <c r="B391" s="14"/>
      <c r="J391" s="11"/>
    </row>
    <row r="392">
      <c r="B392" s="14"/>
      <c r="J392" s="11"/>
    </row>
    <row r="393">
      <c r="B393" s="14"/>
      <c r="J393" s="11"/>
    </row>
    <row r="394">
      <c r="B394" s="14"/>
      <c r="J394" s="11"/>
    </row>
    <row r="395">
      <c r="B395" s="14"/>
      <c r="J395" s="11"/>
    </row>
    <row r="396">
      <c r="B396" s="14"/>
      <c r="J396" s="11"/>
    </row>
    <row r="397">
      <c r="B397" s="14"/>
      <c r="J397" s="11"/>
    </row>
    <row r="398">
      <c r="B398" s="14"/>
      <c r="J398" s="11"/>
    </row>
    <row r="399">
      <c r="B399" s="14"/>
      <c r="J399" s="11"/>
    </row>
    <row r="400">
      <c r="B400" s="14"/>
      <c r="J400" s="11"/>
    </row>
    <row r="401">
      <c r="B401" s="14"/>
      <c r="J401" s="11"/>
    </row>
    <row r="402">
      <c r="B402" s="14"/>
      <c r="J402" s="11"/>
    </row>
    <row r="403">
      <c r="B403" s="14"/>
      <c r="J403" s="11"/>
    </row>
    <row r="404">
      <c r="B404" s="14"/>
      <c r="J404" s="11"/>
    </row>
    <row r="405">
      <c r="B405" s="14"/>
      <c r="J405" s="11"/>
    </row>
    <row r="406">
      <c r="B406" s="14"/>
      <c r="J406" s="11"/>
    </row>
    <row r="407">
      <c r="B407" s="14"/>
      <c r="J407" s="11"/>
    </row>
    <row r="408">
      <c r="B408" s="14"/>
      <c r="J408" s="11"/>
    </row>
    <row r="409">
      <c r="B409" s="14"/>
      <c r="J409" s="11"/>
    </row>
    <row r="410">
      <c r="B410" s="14"/>
      <c r="J410" s="11"/>
    </row>
    <row r="411">
      <c r="B411" s="14"/>
      <c r="J411" s="11"/>
    </row>
    <row r="412">
      <c r="B412" s="14"/>
      <c r="J412" s="11"/>
    </row>
    <row r="413">
      <c r="B413" s="14"/>
      <c r="J413" s="11"/>
    </row>
    <row r="414">
      <c r="B414" s="14"/>
      <c r="J414" s="11"/>
    </row>
    <row r="415">
      <c r="B415" s="14"/>
      <c r="J415" s="11"/>
    </row>
    <row r="416">
      <c r="B416" s="14"/>
      <c r="J416" s="11"/>
    </row>
    <row r="417">
      <c r="B417" s="14"/>
      <c r="J417" s="11"/>
    </row>
    <row r="418">
      <c r="B418" s="14"/>
      <c r="J418" s="11"/>
    </row>
    <row r="419">
      <c r="B419" s="14"/>
      <c r="J419" s="11"/>
    </row>
    <row r="420">
      <c r="B420" s="14"/>
      <c r="J420" s="11"/>
    </row>
    <row r="421">
      <c r="B421" s="14"/>
      <c r="J421" s="11"/>
    </row>
    <row r="422">
      <c r="B422" s="14"/>
      <c r="J422" s="11"/>
    </row>
    <row r="423">
      <c r="B423" s="14"/>
      <c r="J423" s="11"/>
    </row>
    <row r="424">
      <c r="B424" s="14"/>
      <c r="J424" s="11"/>
    </row>
    <row r="425">
      <c r="B425" s="14"/>
      <c r="J425" s="11"/>
    </row>
    <row r="426">
      <c r="B426" s="14"/>
      <c r="J426" s="11"/>
    </row>
    <row r="427">
      <c r="B427" s="14"/>
      <c r="J427" s="11"/>
    </row>
    <row r="428">
      <c r="B428" s="14"/>
      <c r="J428" s="11"/>
    </row>
    <row r="429">
      <c r="B429" s="14"/>
      <c r="J429" s="11"/>
    </row>
    <row r="430">
      <c r="B430" s="14"/>
      <c r="J430" s="11"/>
    </row>
    <row r="431">
      <c r="B431" s="14"/>
      <c r="J431" s="11"/>
    </row>
    <row r="432">
      <c r="B432" s="14"/>
      <c r="J432" s="11"/>
    </row>
    <row r="433">
      <c r="B433" s="14"/>
      <c r="J433" s="11"/>
    </row>
    <row r="434">
      <c r="B434" s="14"/>
      <c r="J434" s="11"/>
    </row>
    <row r="435">
      <c r="B435" s="14"/>
      <c r="J435" s="11"/>
    </row>
    <row r="436">
      <c r="B436" s="14"/>
      <c r="J436" s="11"/>
    </row>
    <row r="437">
      <c r="B437" s="14"/>
      <c r="J437" s="11"/>
    </row>
    <row r="438">
      <c r="B438" s="14"/>
      <c r="J438" s="11"/>
    </row>
    <row r="439">
      <c r="B439" s="14"/>
      <c r="J439" s="11"/>
    </row>
    <row r="440">
      <c r="B440" s="14"/>
      <c r="J440" s="11"/>
    </row>
    <row r="441">
      <c r="B441" s="14"/>
      <c r="J441" s="11"/>
    </row>
    <row r="442">
      <c r="B442" s="14"/>
      <c r="J442" s="11"/>
    </row>
    <row r="443">
      <c r="B443" s="14"/>
      <c r="J443" s="11"/>
    </row>
    <row r="444">
      <c r="B444" s="14"/>
      <c r="J444" s="11"/>
    </row>
    <row r="445">
      <c r="B445" s="14"/>
      <c r="J445" s="11"/>
    </row>
    <row r="446">
      <c r="B446" s="14"/>
      <c r="J446" s="11"/>
    </row>
    <row r="447">
      <c r="B447" s="14"/>
      <c r="J447" s="11"/>
    </row>
    <row r="448">
      <c r="B448" s="14"/>
      <c r="J448" s="11"/>
    </row>
    <row r="449">
      <c r="B449" s="14"/>
      <c r="J449" s="11"/>
    </row>
    <row r="450">
      <c r="B450" s="14"/>
      <c r="J450" s="11"/>
    </row>
    <row r="451">
      <c r="B451" s="14"/>
      <c r="J451" s="11"/>
    </row>
    <row r="452">
      <c r="B452" s="14"/>
      <c r="J452" s="11"/>
    </row>
    <row r="453">
      <c r="B453" s="14"/>
      <c r="J453" s="11"/>
    </row>
    <row r="454">
      <c r="B454" s="14"/>
      <c r="J454" s="11"/>
    </row>
    <row r="455">
      <c r="B455" s="14"/>
      <c r="J455" s="11"/>
    </row>
    <row r="456">
      <c r="B456" s="14"/>
      <c r="J456" s="11"/>
    </row>
    <row r="457">
      <c r="B457" s="14"/>
      <c r="J457" s="11"/>
    </row>
    <row r="458">
      <c r="B458" s="14"/>
      <c r="J458" s="11"/>
    </row>
    <row r="459">
      <c r="B459" s="14"/>
      <c r="J459" s="11"/>
    </row>
    <row r="460">
      <c r="B460" s="14"/>
      <c r="J460" s="11"/>
    </row>
    <row r="461">
      <c r="B461" s="14"/>
      <c r="J461" s="11"/>
    </row>
    <row r="462">
      <c r="B462" s="14"/>
      <c r="J462" s="11"/>
    </row>
    <row r="463">
      <c r="B463" s="14"/>
      <c r="J463" s="11"/>
    </row>
    <row r="464">
      <c r="B464" s="14"/>
      <c r="J464" s="11"/>
    </row>
    <row r="465">
      <c r="B465" s="14"/>
      <c r="J465" s="11"/>
    </row>
    <row r="466">
      <c r="B466" s="14"/>
      <c r="J466" s="11"/>
    </row>
    <row r="467">
      <c r="B467" s="14"/>
      <c r="J467" s="11"/>
    </row>
    <row r="468">
      <c r="B468" s="14"/>
      <c r="J468" s="11"/>
    </row>
    <row r="469">
      <c r="B469" s="14"/>
      <c r="J469" s="11"/>
    </row>
    <row r="470">
      <c r="B470" s="14"/>
      <c r="J470" s="11"/>
    </row>
    <row r="471">
      <c r="B471" s="14"/>
      <c r="J471" s="11"/>
    </row>
    <row r="472">
      <c r="B472" s="14"/>
      <c r="J472" s="11"/>
    </row>
    <row r="473">
      <c r="B473" s="14"/>
      <c r="J473" s="11"/>
    </row>
    <row r="474">
      <c r="B474" s="14"/>
      <c r="J474" s="11"/>
    </row>
    <row r="475">
      <c r="B475" s="14"/>
      <c r="J475" s="11"/>
    </row>
    <row r="476">
      <c r="B476" s="14"/>
      <c r="J476" s="11"/>
    </row>
    <row r="477">
      <c r="B477" s="14"/>
      <c r="J477" s="11"/>
    </row>
    <row r="478">
      <c r="B478" s="14"/>
      <c r="J478" s="11"/>
    </row>
    <row r="479">
      <c r="B479" s="14"/>
      <c r="J479" s="11"/>
    </row>
    <row r="480">
      <c r="B480" s="14"/>
      <c r="J480" s="11"/>
    </row>
    <row r="481">
      <c r="B481" s="14"/>
      <c r="J481" s="11"/>
    </row>
    <row r="482">
      <c r="B482" s="14"/>
      <c r="J482" s="11"/>
    </row>
    <row r="483">
      <c r="B483" s="14"/>
      <c r="J483" s="11"/>
    </row>
    <row r="484">
      <c r="B484" s="14"/>
      <c r="J484" s="11"/>
    </row>
    <row r="485">
      <c r="B485" s="14"/>
      <c r="J485" s="11"/>
    </row>
    <row r="486">
      <c r="B486" s="14"/>
      <c r="J486" s="11"/>
    </row>
    <row r="487">
      <c r="B487" s="14"/>
      <c r="J487" s="11"/>
    </row>
    <row r="488">
      <c r="B488" s="14"/>
      <c r="J488" s="11"/>
    </row>
    <row r="489">
      <c r="B489" s="14"/>
      <c r="J489" s="11"/>
    </row>
    <row r="490">
      <c r="B490" s="14"/>
      <c r="J490" s="11"/>
    </row>
    <row r="491">
      <c r="B491" s="14"/>
      <c r="J491" s="11"/>
    </row>
    <row r="492">
      <c r="B492" s="14"/>
      <c r="J492" s="11"/>
    </row>
    <row r="493">
      <c r="B493" s="14"/>
      <c r="J493" s="11"/>
    </row>
    <row r="494">
      <c r="B494" s="14"/>
      <c r="J494" s="11"/>
    </row>
    <row r="495">
      <c r="B495" s="14"/>
      <c r="J495" s="11"/>
    </row>
    <row r="496">
      <c r="B496" s="14"/>
      <c r="J496" s="11"/>
    </row>
    <row r="497">
      <c r="B497" s="14"/>
      <c r="J497" s="11"/>
    </row>
    <row r="498">
      <c r="B498" s="14"/>
      <c r="J498" s="11"/>
    </row>
    <row r="499">
      <c r="B499" s="14"/>
      <c r="J499" s="11"/>
    </row>
    <row r="500">
      <c r="B500" s="14"/>
      <c r="J500" s="11"/>
    </row>
    <row r="501">
      <c r="B501" s="14"/>
      <c r="J501" s="11"/>
    </row>
    <row r="502">
      <c r="B502" s="14"/>
      <c r="J502" s="11"/>
    </row>
    <row r="503">
      <c r="B503" s="14"/>
      <c r="J503" s="11"/>
    </row>
    <row r="504">
      <c r="B504" s="14"/>
      <c r="J504" s="11"/>
    </row>
    <row r="505">
      <c r="B505" s="14"/>
      <c r="J505" s="11"/>
    </row>
    <row r="506">
      <c r="B506" s="14"/>
      <c r="J506" s="11"/>
    </row>
    <row r="507">
      <c r="B507" s="14"/>
      <c r="J507" s="11"/>
    </row>
    <row r="508">
      <c r="B508" s="14"/>
      <c r="J508" s="11"/>
    </row>
    <row r="509">
      <c r="B509" s="14"/>
      <c r="J509" s="11"/>
    </row>
    <row r="510">
      <c r="B510" s="14"/>
      <c r="J510" s="11"/>
    </row>
    <row r="511">
      <c r="B511" s="14"/>
      <c r="J511" s="11"/>
    </row>
    <row r="512">
      <c r="B512" s="14"/>
      <c r="J512" s="11"/>
    </row>
    <row r="513">
      <c r="B513" s="14"/>
      <c r="J513" s="11"/>
    </row>
    <row r="514">
      <c r="B514" s="14"/>
      <c r="J514" s="11"/>
    </row>
    <row r="515">
      <c r="B515" s="14"/>
      <c r="J515" s="11"/>
    </row>
    <row r="516">
      <c r="B516" s="14"/>
      <c r="J516" s="11"/>
    </row>
    <row r="517">
      <c r="B517" s="14"/>
      <c r="J517" s="11"/>
    </row>
    <row r="518">
      <c r="B518" s="14"/>
      <c r="J518" s="11"/>
    </row>
    <row r="519">
      <c r="B519" s="14"/>
      <c r="J519" s="11"/>
    </row>
    <row r="520">
      <c r="B520" s="14"/>
      <c r="J520" s="11"/>
    </row>
    <row r="521">
      <c r="B521" s="14"/>
      <c r="J521" s="11"/>
    </row>
    <row r="522">
      <c r="B522" s="14"/>
      <c r="J522" s="11"/>
    </row>
    <row r="523">
      <c r="B523" s="14"/>
      <c r="J523" s="11"/>
    </row>
    <row r="524">
      <c r="B524" s="14"/>
      <c r="J524" s="11"/>
    </row>
    <row r="525">
      <c r="B525" s="14"/>
      <c r="J525" s="11"/>
    </row>
    <row r="526">
      <c r="B526" s="14"/>
      <c r="J526" s="11"/>
    </row>
    <row r="527">
      <c r="B527" s="14"/>
      <c r="J527" s="11"/>
    </row>
    <row r="528">
      <c r="B528" s="14"/>
      <c r="J528" s="11"/>
    </row>
    <row r="529">
      <c r="B529" s="14"/>
      <c r="J529" s="11"/>
    </row>
    <row r="530">
      <c r="B530" s="14"/>
      <c r="J530" s="11"/>
    </row>
    <row r="531">
      <c r="B531" s="14"/>
      <c r="J531" s="11"/>
    </row>
    <row r="532">
      <c r="B532" s="14"/>
      <c r="J532" s="11"/>
    </row>
    <row r="533">
      <c r="B533" s="14"/>
      <c r="J533" s="11"/>
    </row>
    <row r="534">
      <c r="B534" s="14"/>
      <c r="J534" s="11"/>
    </row>
    <row r="535">
      <c r="B535" s="14"/>
      <c r="J535" s="11"/>
    </row>
    <row r="536">
      <c r="B536" s="14"/>
      <c r="J536" s="11"/>
    </row>
    <row r="537">
      <c r="B537" s="14"/>
      <c r="J537" s="11"/>
    </row>
    <row r="538">
      <c r="B538" s="14"/>
      <c r="J538" s="11"/>
    </row>
    <row r="539">
      <c r="B539" s="14"/>
      <c r="J539" s="11"/>
    </row>
    <row r="540">
      <c r="B540" s="14"/>
      <c r="J540" s="11"/>
    </row>
    <row r="541">
      <c r="B541" s="14"/>
      <c r="J541" s="11"/>
    </row>
    <row r="542">
      <c r="B542" s="14"/>
      <c r="J542" s="11"/>
    </row>
    <row r="543">
      <c r="B543" s="14"/>
      <c r="J543" s="11"/>
    </row>
    <row r="544">
      <c r="B544" s="14"/>
      <c r="J544" s="11"/>
    </row>
    <row r="545">
      <c r="B545" s="14"/>
      <c r="J545" s="11"/>
    </row>
    <row r="546">
      <c r="B546" s="14"/>
      <c r="J546" s="11"/>
    </row>
    <row r="547">
      <c r="B547" s="14"/>
      <c r="J547" s="11"/>
    </row>
    <row r="548">
      <c r="B548" s="14"/>
      <c r="J548" s="11"/>
    </row>
    <row r="549">
      <c r="B549" s="14"/>
      <c r="J549" s="11"/>
    </row>
    <row r="550">
      <c r="B550" s="14"/>
      <c r="J550" s="11"/>
    </row>
    <row r="551">
      <c r="B551" s="14"/>
      <c r="J551" s="11"/>
    </row>
    <row r="552">
      <c r="B552" s="14"/>
      <c r="J552" s="11"/>
    </row>
    <row r="553">
      <c r="B553" s="14"/>
      <c r="J553" s="11"/>
    </row>
    <row r="554">
      <c r="B554" s="14"/>
      <c r="J554" s="11"/>
    </row>
    <row r="555">
      <c r="B555" s="14"/>
      <c r="J555" s="11"/>
    </row>
    <row r="556">
      <c r="B556" s="14"/>
      <c r="J556" s="11"/>
    </row>
    <row r="557">
      <c r="B557" s="14"/>
      <c r="J557" s="11"/>
    </row>
    <row r="558">
      <c r="B558" s="14"/>
      <c r="J558" s="11"/>
    </row>
    <row r="559">
      <c r="B559" s="14"/>
      <c r="J559" s="11"/>
    </row>
    <row r="560">
      <c r="B560" s="14"/>
      <c r="J560" s="11"/>
    </row>
    <row r="561">
      <c r="B561" s="14"/>
      <c r="J561" s="11"/>
    </row>
    <row r="562">
      <c r="B562" s="14"/>
      <c r="J562" s="11"/>
    </row>
    <row r="563">
      <c r="B563" s="14"/>
      <c r="J563" s="11"/>
    </row>
    <row r="564">
      <c r="B564" s="14"/>
      <c r="J564" s="11"/>
    </row>
    <row r="565">
      <c r="B565" s="14"/>
      <c r="J565" s="11"/>
    </row>
    <row r="566">
      <c r="B566" s="14"/>
      <c r="J566" s="11"/>
    </row>
    <row r="567">
      <c r="B567" s="14"/>
      <c r="J567" s="11"/>
    </row>
    <row r="568">
      <c r="B568" s="14"/>
      <c r="J568" s="11"/>
    </row>
    <row r="569">
      <c r="B569" s="14"/>
      <c r="J569" s="11"/>
    </row>
    <row r="570">
      <c r="B570" s="14"/>
      <c r="J570" s="11"/>
    </row>
    <row r="571">
      <c r="B571" s="14"/>
      <c r="J571" s="11"/>
    </row>
    <row r="572">
      <c r="B572" s="14"/>
      <c r="J572" s="11"/>
    </row>
    <row r="573">
      <c r="B573" s="14"/>
      <c r="J573" s="11"/>
    </row>
    <row r="574">
      <c r="B574" s="14"/>
      <c r="J574" s="11"/>
    </row>
    <row r="575">
      <c r="B575" s="14"/>
      <c r="J575" s="11"/>
    </row>
    <row r="576">
      <c r="B576" s="14"/>
      <c r="J576" s="11"/>
    </row>
    <row r="577">
      <c r="B577" s="14"/>
      <c r="J577" s="11"/>
    </row>
    <row r="578">
      <c r="B578" s="14"/>
      <c r="J578" s="11"/>
    </row>
    <row r="579">
      <c r="B579" s="14"/>
      <c r="J579" s="11"/>
    </row>
    <row r="580">
      <c r="B580" s="14"/>
      <c r="J580" s="11"/>
    </row>
    <row r="581">
      <c r="B581" s="14"/>
      <c r="J581" s="11"/>
    </row>
    <row r="582">
      <c r="B582" s="14"/>
      <c r="J582" s="11"/>
    </row>
    <row r="583">
      <c r="B583" s="14"/>
      <c r="J583" s="11"/>
    </row>
    <row r="584">
      <c r="B584" s="14"/>
      <c r="J584" s="11"/>
    </row>
    <row r="585">
      <c r="B585" s="14"/>
      <c r="J585" s="11"/>
    </row>
    <row r="586">
      <c r="B586" s="14"/>
      <c r="J586" s="11"/>
    </row>
    <row r="587">
      <c r="B587" s="14"/>
      <c r="J587" s="11"/>
    </row>
    <row r="588">
      <c r="B588" s="14"/>
      <c r="J588" s="11"/>
    </row>
    <row r="589">
      <c r="B589" s="14"/>
      <c r="J589" s="11"/>
    </row>
    <row r="590">
      <c r="B590" s="14"/>
      <c r="J590" s="11"/>
    </row>
    <row r="591">
      <c r="B591" s="14"/>
      <c r="J591" s="11"/>
    </row>
    <row r="592">
      <c r="B592" s="14"/>
      <c r="J592" s="11"/>
    </row>
    <row r="593">
      <c r="B593" s="14"/>
      <c r="J593" s="11"/>
    </row>
    <row r="594">
      <c r="B594" s="14"/>
      <c r="J594" s="11"/>
    </row>
    <row r="595">
      <c r="B595" s="14"/>
      <c r="J595" s="11"/>
    </row>
    <row r="596">
      <c r="B596" s="14"/>
      <c r="J596" s="11"/>
    </row>
    <row r="597">
      <c r="B597" s="14"/>
      <c r="J597" s="11"/>
    </row>
    <row r="598">
      <c r="B598" s="14"/>
      <c r="J598" s="11"/>
    </row>
    <row r="599">
      <c r="B599" s="14"/>
      <c r="J599" s="11"/>
    </row>
    <row r="600">
      <c r="B600" s="14"/>
      <c r="J600" s="11"/>
    </row>
    <row r="601">
      <c r="B601" s="14"/>
      <c r="J601" s="11"/>
    </row>
    <row r="602">
      <c r="B602" s="14"/>
      <c r="J602" s="11"/>
    </row>
    <row r="603">
      <c r="B603" s="14"/>
      <c r="J603" s="11"/>
    </row>
    <row r="604">
      <c r="B604" s="14"/>
      <c r="J604" s="11"/>
    </row>
    <row r="605">
      <c r="B605" s="14"/>
      <c r="J605" s="11"/>
    </row>
    <row r="606">
      <c r="B606" s="14"/>
      <c r="J606" s="11"/>
    </row>
    <row r="607">
      <c r="B607" s="14"/>
      <c r="J607" s="11"/>
    </row>
    <row r="608">
      <c r="B608" s="14"/>
      <c r="J608" s="11"/>
    </row>
    <row r="609">
      <c r="B609" s="14"/>
      <c r="J609" s="11"/>
    </row>
    <row r="610">
      <c r="B610" s="14"/>
      <c r="J610" s="11"/>
    </row>
    <row r="611">
      <c r="B611" s="14"/>
      <c r="J611" s="11"/>
    </row>
    <row r="612">
      <c r="B612" s="14"/>
      <c r="J612" s="11"/>
    </row>
    <row r="613">
      <c r="B613" s="14"/>
      <c r="J613" s="11"/>
    </row>
    <row r="614">
      <c r="B614" s="14"/>
      <c r="J614" s="11"/>
    </row>
    <row r="615">
      <c r="B615" s="14"/>
      <c r="J615" s="11"/>
    </row>
    <row r="616">
      <c r="B616" s="14"/>
      <c r="J616" s="11"/>
    </row>
    <row r="617">
      <c r="B617" s="14"/>
      <c r="J617" s="11"/>
    </row>
    <row r="618">
      <c r="B618" s="14"/>
      <c r="J618" s="11"/>
    </row>
    <row r="619">
      <c r="B619" s="14"/>
      <c r="J619" s="11"/>
    </row>
    <row r="620">
      <c r="B620" s="14"/>
      <c r="J620" s="11"/>
    </row>
    <row r="621">
      <c r="B621" s="14"/>
      <c r="J621" s="11"/>
    </row>
    <row r="622">
      <c r="B622" s="14"/>
      <c r="J622" s="11"/>
    </row>
    <row r="623">
      <c r="B623" s="14"/>
      <c r="J623" s="11"/>
    </row>
    <row r="624">
      <c r="B624" s="14"/>
      <c r="J624" s="11"/>
    </row>
    <row r="625">
      <c r="B625" s="14"/>
      <c r="J625" s="11"/>
    </row>
    <row r="626">
      <c r="B626" s="14"/>
      <c r="J626" s="11"/>
    </row>
    <row r="627">
      <c r="B627" s="14"/>
      <c r="J627" s="11"/>
    </row>
    <row r="628">
      <c r="B628" s="14"/>
      <c r="J628" s="11"/>
    </row>
    <row r="629">
      <c r="B629" s="14"/>
      <c r="J629" s="11"/>
    </row>
    <row r="630">
      <c r="B630" s="14"/>
      <c r="J630" s="11"/>
    </row>
    <row r="631">
      <c r="B631" s="14"/>
      <c r="J631" s="11"/>
    </row>
    <row r="632">
      <c r="B632" s="14"/>
      <c r="J632" s="11"/>
    </row>
    <row r="633">
      <c r="B633" s="14"/>
      <c r="J633" s="11"/>
    </row>
    <row r="634">
      <c r="B634" s="14"/>
      <c r="J634" s="11"/>
    </row>
    <row r="635">
      <c r="B635" s="14"/>
      <c r="J635" s="11"/>
    </row>
    <row r="636">
      <c r="B636" s="14"/>
      <c r="J636" s="11"/>
    </row>
    <row r="637">
      <c r="B637" s="14"/>
      <c r="J637" s="11"/>
    </row>
    <row r="638">
      <c r="B638" s="14"/>
      <c r="J638" s="11"/>
    </row>
    <row r="639">
      <c r="B639" s="14"/>
      <c r="J639" s="11"/>
    </row>
    <row r="640">
      <c r="B640" s="14"/>
      <c r="J640" s="11"/>
    </row>
    <row r="641">
      <c r="B641" s="14"/>
      <c r="J641" s="11"/>
    </row>
    <row r="642">
      <c r="B642" s="14"/>
      <c r="J642" s="11"/>
    </row>
    <row r="643">
      <c r="B643" s="14"/>
      <c r="J643" s="11"/>
    </row>
    <row r="644">
      <c r="B644" s="14"/>
      <c r="J644" s="11"/>
    </row>
    <row r="645">
      <c r="B645" s="14"/>
      <c r="J645" s="11"/>
    </row>
    <row r="646">
      <c r="B646" s="14"/>
      <c r="J646" s="11"/>
    </row>
    <row r="647">
      <c r="B647" s="14"/>
      <c r="J647" s="11"/>
    </row>
    <row r="648">
      <c r="B648" s="14"/>
      <c r="J648" s="11"/>
    </row>
    <row r="649">
      <c r="B649" s="14"/>
      <c r="J649" s="11"/>
    </row>
    <row r="650">
      <c r="B650" s="14"/>
      <c r="J650" s="11"/>
    </row>
    <row r="651">
      <c r="B651" s="14"/>
      <c r="J651" s="11"/>
    </row>
    <row r="652">
      <c r="B652" s="14"/>
      <c r="J652" s="11"/>
    </row>
    <row r="653">
      <c r="B653" s="14"/>
      <c r="J653" s="11"/>
    </row>
    <row r="654">
      <c r="B654" s="14"/>
      <c r="J654" s="11"/>
    </row>
    <row r="655">
      <c r="B655" s="14"/>
      <c r="J655" s="11"/>
    </row>
    <row r="656">
      <c r="B656" s="14"/>
      <c r="J656" s="11"/>
    </row>
    <row r="657">
      <c r="B657" s="14"/>
      <c r="J657" s="11"/>
    </row>
    <row r="658">
      <c r="B658" s="14"/>
      <c r="J658" s="11"/>
    </row>
    <row r="659">
      <c r="B659" s="14"/>
      <c r="J659" s="11"/>
    </row>
    <row r="660">
      <c r="B660" s="14"/>
      <c r="J660" s="11"/>
    </row>
    <row r="661">
      <c r="B661" s="14"/>
      <c r="J661" s="11"/>
    </row>
    <row r="662">
      <c r="B662" s="14"/>
      <c r="J662" s="11"/>
    </row>
    <row r="663">
      <c r="B663" s="14"/>
      <c r="J663" s="11"/>
    </row>
    <row r="664">
      <c r="B664" s="14"/>
      <c r="J664" s="11"/>
    </row>
    <row r="665">
      <c r="B665" s="14"/>
      <c r="J665" s="11"/>
    </row>
    <row r="666">
      <c r="B666" s="14"/>
      <c r="J666" s="11"/>
    </row>
    <row r="667">
      <c r="B667" s="14"/>
      <c r="J667" s="11"/>
    </row>
    <row r="668">
      <c r="B668" s="14"/>
      <c r="J668" s="11"/>
    </row>
    <row r="669">
      <c r="B669" s="14"/>
      <c r="J669" s="11"/>
    </row>
    <row r="670">
      <c r="B670" s="14"/>
      <c r="J670" s="11"/>
    </row>
    <row r="671">
      <c r="B671" s="14"/>
      <c r="J671" s="11"/>
    </row>
    <row r="672">
      <c r="B672" s="14"/>
      <c r="J672" s="11"/>
    </row>
    <row r="673">
      <c r="B673" s="14"/>
      <c r="J673" s="11"/>
    </row>
    <row r="674">
      <c r="B674" s="14"/>
      <c r="J674" s="11"/>
    </row>
    <row r="675">
      <c r="B675" s="14"/>
      <c r="J675" s="11"/>
    </row>
    <row r="676">
      <c r="B676" s="14"/>
      <c r="J676" s="11"/>
    </row>
    <row r="677">
      <c r="B677" s="14"/>
      <c r="J677" s="11"/>
    </row>
    <row r="678">
      <c r="B678" s="14"/>
      <c r="J678" s="11"/>
    </row>
    <row r="679">
      <c r="B679" s="14"/>
      <c r="J679" s="11"/>
    </row>
    <row r="680">
      <c r="B680" s="14"/>
      <c r="J680" s="11"/>
    </row>
    <row r="681">
      <c r="B681" s="14"/>
      <c r="J681" s="11"/>
    </row>
    <row r="682">
      <c r="B682" s="14"/>
      <c r="J682" s="11"/>
    </row>
    <row r="683">
      <c r="B683" s="14"/>
      <c r="J683" s="11"/>
    </row>
    <row r="684">
      <c r="B684" s="14"/>
      <c r="J684" s="11"/>
    </row>
    <row r="685">
      <c r="B685" s="14"/>
      <c r="J685" s="11"/>
    </row>
    <row r="686">
      <c r="B686" s="14"/>
      <c r="J686" s="11"/>
    </row>
    <row r="687">
      <c r="B687" s="14"/>
      <c r="J687" s="11"/>
    </row>
    <row r="688">
      <c r="B688" s="14"/>
      <c r="J688" s="11"/>
    </row>
    <row r="689">
      <c r="B689" s="14"/>
      <c r="J689" s="11"/>
    </row>
    <row r="690">
      <c r="B690" s="14"/>
      <c r="J690" s="11"/>
    </row>
    <row r="691">
      <c r="B691" s="14"/>
      <c r="J691" s="11"/>
    </row>
    <row r="692">
      <c r="B692" s="14"/>
      <c r="J692" s="11"/>
    </row>
    <row r="693">
      <c r="B693" s="14"/>
      <c r="J693" s="11"/>
    </row>
    <row r="694">
      <c r="B694" s="14"/>
      <c r="J694" s="11"/>
    </row>
    <row r="695">
      <c r="B695" s="14"/>
      <c r="J695" s="11"/>
    </row>
    <row r="696">
      <c r="B696" s="14"/>
      <c r="J696" s="11"/>
    </row>
    <row r="697">
      <c r="B697" s="14"/>
      <c r="J697" s="11"/>
    </row>
    <row r="698">
      <c r="B698" s="14"/>
      <c r="J698" s="11"/>
    </row>
    <row r="699">
      <c r="B699" s="14"/>
      <c r="J699" s="11"/>
    </row>
    <row r="700">
      <c r="B700" s="14"/>
      <c r="J700" s="11"/>
    </row>
    <row r="701">
      <c r="B701" s="14"/>
      <c r="J701" s="11"/>
    </row>
    <row r="702">
      <c r="B702" s="14"/>
      <c r="J702" s="11"/>
    </row>
    <row r="703">
      <c r="B703" s="14"/>
      <c r="J703" s="11"/>
    </row>
    <row r="704">
      <c r="B704" s="14"/>
      <c r="J704" s="11"/>
    </row>
    <row r="705">
      <c r="B705" s="14"/>
      <c r="J705" s="11"/>
    </row>
    <row r="706">
      <c r="B706" s="14"/>
      <c r="J706" s="11"/>
    </row>
    <row r="707">
      <c r="B707" s="14"/>
      <c r="J707" s="11"/>
    </row>
    <row r="708">
      <c r="B708" s="14"/>
      <c r="J708" s="11"/>
    </row>
    <row r="709">
      <c r="B709" s="14"/>
      <c r="J709" s="11"/>
    </row>
    <row r="710">
      <c r="B710" s="14"/>
      <c r="J710" s="11"/>
    </row>
    <row r="711">
      <c r="B711" s="14"/>
      <c r="J711" s="11"/>
    </row>
    <row r="712">
      <c r="B712" s="14"/>
      <c r="J712" s="11"/>
    </row>
    <row r="713">
      <c r="B713" s="14"/>
      <c r="J713" s="11"/>
    </row>
    <row r="714">
      <c r="B714" s="14"/>
      <c r="J714" s="11"/>
    </row>
    <row r="715">
      <c r="B715" s="14"/>
      <c r="J715" s="11"/>
    </row>
    <row r="716">
      <c r="B716" s="14"/>
      <c r="J716" s="11"/>
    </row>
    <row r="717">
      <c r="B717" s="14"/>
      <c r="J717" s="11"/>
    </row>
    <row r="718">
      <c r="B718" s="14"/>
      <c r="J718" s="11"/>
    </row>
    <row r="719">
      <c r="B719" s="14"/>
      <c r="J719" s="11"/>
    </row>
    <row r="720">
      <c r="B720" s="14"/>
      <c r="J720" s="11"/>
    </row>
    <row r="721">
      <c r="B721" s="14"/>
      <c r="J721" s="11"/>
    </row>
    <row r="722">
      <c r="B722" s="14"/>
      <c r="J722" s="11"/>
    </row>
    <row r="723">
      <c r="B723" s="14"/>
      <c r="J723" s="11"/>
    </row>
    <row r="724">
      <c r="B724" s="14"/>
      <c r="J724" s="11"/>
    </row>
    <row r="725">
      <c r="B725" s="14"/>
      <c r="J725" s="11"/>
    </row>
    <row r="726">
      <c r="B726" s="14"/>
      <c r="J726" s="11"/>
    </row>
    <row r="727">
      <c r="B727" s="14"/>
      <c r="J727" s="11"/>
    </row>
    <row r="728">
      <c r="B728" s="14"/>
      <c r="J728" s="11"/>
    </row>
    <row r="729">
      <c r="B729" s="14"/>
      <c r="J729" s="11"/>
    </row>
    <row r="730">
      <c r="B730" s="14"/>
      <c r="J730" s="11"/>
    </row>
    <row r="731">
      <c r="B731" s="14"/>
      <c r="J731" s="11"/>
    </row>
    <row r="732">
      <c r="B732" s="14"/>
      <c r="J732" s="11"/>
    </row>
    <row r="733">
      <c r="B733" s="14"/>
      <c r="J733" s="11"/>
    </row>
    <row r="734">
      <c r="B734" s="14"/>
      <c r="J734" s="11"/>
    </row>
    <row r="735">
      <c r="B735" s="14"/>
      <c r="J735" s="11"/>
    </row>
    <row r="736">
      <c r="B736" s="14"/>
      <c r="J736" s="11"/>
    </row>
    <row r="737">
      <c r="B737" s="14"/>
      <c r="J737" s="11"/>
    </row>
    <row r="738">
      <c r="B738" s="14"/>
      <c r="J738" s="11"/>
    </row>
    <row r="739">
      <c r="B739" s="14"/>
      <c r="J739" s="11"/>
    </row>
    <row r="740">
      <c r="B740" s="14"/>
      <c r="J740" s="11"/>
    </row>
    <row r="741">
      <c r="B741" s="14"/>
      <c r="J741" s="11"/>
    </row>
    <row r="742">
      <c r="B742" s="14"/>
      <c r="J742" s="11"/>
    </row>
    <row r="743">
      <c r="B743" s="14"/>
      <c r="J743" s="11"/>
    </row>
    <row r="744">
      <c r="B744" s="14"/>
      <c r="J744" s="11"/>
    </row>
    <row r="745">
      <c r="B745" s="14"/>
      <c r="J745" s="11"/>
    </row>
    <row r="746">
      <c r="B746" s="14"/>
      <c r="J746" s="11"/>
    </row>
    <row r="747">
      <c r="B747" s="14"/>
      <c r="J747" s="11"/>
    </row>
    <row r="748">
      <c r="B748" s="14"/>
      <c r="J748" s="11"/>
    </row>
    <row r="749">
      <c r="B749" s="14"/>
      <c r="J749" s="11"/>
    </row>
    <row r="750">
      <c r="B750" s="14"/>
      <c r="J750" s="11"/>
    </row>
    <row r="751">
      <c r="B751" s="14"/>
      <c r="J751" s="11"/>
    </row>
    <row r="752">
      <c r="B752" s="14"/>
      <c r="J752" s="11"/>
    </row>
    <row r="753">
      <c r="B753" s="14"/>
      <c r="J753" s="11"/>
    </row>
    <row r="754">
      <c r="B754" s="14"/>
      <c r="J754" s="11"/>
    </row>
    <row r="755">
      <c r="B755" s="14"/>
      <c r="J755" s="11"/>
    </row>
    <row r="756">
      <c r="B756" s="14"/>
      <c r="J756" s="11"/>
    </row>
    <row r="757">
      <c r="B757" s="14"/>
      <c r="J757" s="11"/>
    </row>
    <row r="758">
      <c r="B758" s="14"/>
      <c r="J758" s="11"/>
    </row>
    <row r="759">
      <c r="B759" s="14"/>
      <c r="J759" s="11"/>
    </row>
    <row r="760">
      <c r="B760" s="14"/>
      <c r="J760" s="11"/>
    </row>
    <row r="761">
      <c r="B761" s="14"/>
      <c r="J761" s="11"/>
    </row>
    <row r="762">
      <c r="B762" s="14"/>
      <c r="J762" s="11"/>
    </row>
    <row r="763">
      <c r="B763" s="14"/>
      <c r="J763" s="11"/>
    </row>
    <row r="764">
      <c r="B764" s="14"/>
      <c r="J764" s="11"/>
    </row>
    <row r="765">
      <c r="B765" s="14"/>
      <c r="J765" s="11"/>
    </row>
    <row r="766">
      <c r="B766" s="14"/>
      <c r="J766" s="11"/>
    </row>
    <row r="767">
      <c r="B767" s="14"/>
      <c r="J767" s="11"/>
    </row>
    <row r="768">
      <c r="B768" s="14"/>
      <c r="J768" s="11"/>
    </row>
    <row r="769">
      <c r="B769" s="14"/>
      <c r="J769" s="11"/>
    </row>
    <row r="770">
      <c r="B770" s="14"/>
      <c r="J770" s="11"/>
    </row>
    <row r="771">
      <c r="B771" s="14"/>
      <c r="J771" s="11"/>
    </row>
    <row r="772">
      <c r="B772" s="14"/>
      <c r="J772" s="11"/>
    </row>
    <row r="773">
      <c r="B773" s="14"/>
      <c r="J773" s="11"/>
    </row>
    <row r="774">
      <c r="B774" s="14"/>
      <c r="J774" s="11"/>
    </row>
    <row r="775">
      <c r="B775" s="14"/>
      <c r="J775" s="11"/>
    </row>
    <row r="776">
      <c r="B776" s="14"/>
      <c r="J776" s="11"/>
    </row>
    <row r="777">
      <c r="B777" s="14"/>
      <c r="J777" s="11"/>
    </row>
    <row r="778">
      <c r="B778" s="14"/>
      <c r="J778" s="11"/>
    </row>
    <row r="779">
      <c r="B779" s="14"/>
      <c r="J779" s="11"/>
    </row>
    <row r="780">
      <c r="B780" s="14"/>
      <c r="J780" s="11"/>
    </row>
    <row r="781">
      <c r="B781" s="14"/>
      <c r="J781" s="11"/>
    </row>
    <row r="782">
      <c r="B782" s="14"/>
      <c r="J782" s="11"/>
    </row>
    <row r="783">
      <c r="B783" s="14"/>
      <c r="J783" s="11"/>
    </row>
    <row r="784">
      <c r="B784" s="14"/>
      <c r="J784" s="11"/>
    </row>
    <row r="785">
      <c r="B785" s="14"/>
      <c r="J785" s="11"/>
    </row>
    <row r="786">
      <c r="B786" s="14"/>
      <c r="J786" s="11"/>
    </row>
    <row r="787">
      <c r="B787" s="14"/>
      <c r="J787" s="11"/>
    </row>
    <row r="788">
      <c r="B788" s="14"/>
      <c r="J788" s="11"/>
    </row>
    <row r="789">
      <c r="B789" s="14"/>
      <c r="J789" s="11"/>
    </row>
    <row r="790">
      <c r="B790" s="14"/>
      <c r="J790" s="11"/>
    </row>
    <row r="791">
      <c r="B791" s="14"/>
      <c r="J791" s="11"/>
    </row>
    <row r="792">
      <c r="B792" s="14"/>
      <c r="J792" s="11"/>
    </row>
    <row r="793">
      <c r="B793" s="14"/>
      <c r="J793" s="11"/>
    </row>
    <row r="794">
      <c r="B794" s="14"/>
      <c r="J794" s="11"/>
    </row>
    <row r="795">
      <c r="B795" s="14"/>
      <c r="J795" s="11"/>
    </row>
    <row r="796">
      <c r="B796" s="14"/>
      <c r="J796" s="11"/>
    </row>
    <row r="797">
      <c r="B797" s="14"/>
      <c r="J797" s="11"/>
    </row>
    <row r="798">
      <c r="B798" s="14"/>
      <c r="J798" s="11"/>
    </row>
    <row r="799">
      <c r="B799" s="14"/>
      <c r="J799" s="11"/>
    </row>
    <row r="800">
      <c r="B800" s="14"/>
      <c r="J800" s="11"/>
    </row>
    <row r="801">
      <c r="B801" s="14"/>
      <c r="J801" s="11"/>
    </row>
    <row r="802">
      <c r="B802" s="14"/>
      <c r="J802" s="11"/>
    </row>
    <row r="803">
      <c r="B803" s="14"/>
      <c r="J803" s="11"/>
    </row>
    <row r="804">
      <c r="B804" s="14"/>
      <c r="J804" s="11"/>
    </row>
    <row r="805">
      <c r="B805" s="14"/>
      <c r="J805" s="11"/>
    </row>
    <row r="806">
      <c r="B806" s="14"/>
      <c r="J806" s="11"/>
    </row>
    <row r="807">
      <c r="B807" s="14"/>
      <c r="J807" s="11"/>
    </row>
    <row r="808">
      <c r="B808" s="14"/>
      <c r="J808" s="11"/>
    </row>
    <row r="809">
      <c r="B809" s="14"/>
      <c r="J809" s="11"/>
    </row>
    <row r="810">
      <c r="B810" s="14"/>
      <c r="J810" s="11"/>
    </row>
    <row r="811">
      <c r="B811" s="14"/>
      <c r="J811" s="11"/>
    </row>
    <row r="812">
      <c r="B812" s="14"/>
      <c r="J812" s="11"/>
    </row>
    <row r="813">
      <c r="B813" s="14"/>
      <c r="J813" s="11"/>
    </row>
    <row r="814">
      <c r="B814" s="14"/>
      <c r="J814" s="11"/>
    </row>
    <row r="815">
      <c r="B815" s="14"/>
      <c r="J815" s="11"/>
    </row>
    <row r="816">
      <c r="B816" s="14"/>
      <c r="J816" s="11"/>
    </row>
    <row r="817">
      <c r="B817" s="14"/>
      <c r="J817" s="11"/>
    </row>
    <row r="818">
      <c r="B818" s="14"/>
      <c r="J818" s="11"/>
    </row>
    <row r="819">
      <c r="B819" s="14"/>
      <c r="J819" s="11"/>
    </row>
    <row r="820">
      <c r="B820" s="14"/>
      <c r="J820" s="11"/>
    </row>
    <row r="821">
      <c r="B821" s="14"/>
      <c r="J821" s="11"/>
    </row>
    <row r="822">
      <c r="B822" s="14"/>
      <c r="J822" s="11"/>
    </row>
    <row r="823">
      <c r="B823" s="14"/>
      <c r="J823" s="11"/>
    </row>
    <row r="824">
      <c r="B824" s="14"/>
      <c r="J824" s="11"/>
    </row>
    <row r="825">
      <c r="B825" s="14"/>
      <c r="J825" s="11"/>
    </row>
    <row r="826">
      <c r="B826" s="14"/>
      <c r="J826" s="11"/>
    </row>
    <row r="827">
      <c r="B827" s="14"/>
      <c r="J827" s="11"/>
    </row>
    <row r="828">
      <c r="B828" s="14"/>
      <c r="J828" s="11"/>
    </row>
    <row r="829">
      <c r="B829" s="14"/>
      <c r="J829" s="11"/>
    </row>
    <row r="830">
      <c r="B830" s="14"/>
      <c r="J830" s="11"/>
    </row>
    <row r="831">
      <c r="B831" s="14"/>
      <c r="J831" s="11"/>
    </row>
    <row r="832">
      <c r="B832" s="14"/>
      <c r="J832" s="11"/>
    </row>
    <row r="833">
      <c r="B833" s="14"/>
      <c r="J833" s="11"/>
    </row>
    <row r="834">
      <c r="B834" s="14"/>
      <c r="J834" s="11"/>
    </row>
    <row r="835">
      <c r="B835" s="14"/>
      <c r="J835" s="11"/>
    </row>
    <row r="836">
      <c r="B836" s="14"/>
      <c r="J836" s="11"/>
    </row>
    <row r="837">
      <c r="B837" s="14"/>
      <c r="J837" s="11"/>
    </row>
    <row r="838">
      <c r="B838" s="14"/>
      <c r="J838" s="11"/>
    </row>
    <row r="839">
      <c r="B839" s="14"/>
      <c r="J839" s="11"/>
    </row>
    <row r="840">
      <c r="B840" s="14"/>
      <c r="J840" s="11"/>
    </row>
    <row r="841">
      <c r="B841" s="14"/>
      <c r="J841" s="11"/>
    </row>
    <row r="842">
      <c r="B842" s="14"/>
      <c r="J842" s="11"/>
    </row>
    <row r="843">
      <c r="B843" s="14"/>
      <c r="J843" s="11"/>
    </row>
    <row r="844">
      <c r="B844" s="14"/>
      <c r="J844" s="11"/>
    </row>
    <row r="845">
      <c r="B845" s="14"/>
      <c r="J845" s="11"/>
    </row>
    <row r="846">
      <c r="B846" s="14"/>
      <c r="J846" s="11"/>
    </row>
    <row r="847">
      <c r="B847" s="14"/>
      <c r="J847" s="11"/>
    </row>
    <row r="848">
      <c r="B848" s="14"/>
      <c r="J848" s="11"/>
    </row>
    <row r="849">
      <c r="B849" s="14"/>
      <c r="J849" s="11"/>
    </row>
    <row r="850">
      <c r="B850" s="14"/>
      <c r="J850" s="11"/>
    </row>
    <row r="851">
      <c r="B851" s="14"/>
      <c r="J851" s="11"/>
    </row>
    <row r="852">
      <c r="B852" s="14"/>
      <c r="J852" s="11"/>
    </row>
    <row r="853">
      <c r="B853" s="14"/>
      <c r="J853" s="11"/>
    </row>
    <row r="854">
      <c r="B854" s="14"/>
      <c r="J854" s="11"/>
    </row>
    <row r="855">
      <c r="B855" s="14"/>
      <c r="J855" s="11"/>
    </row>
    <row r="856">
      <c r="B856" s="14"/>
      <c r="J856" s="11"/>
    </row>
    <row r="857">
      <c r="B857" s="14"/>
      <c r="J857" s="11"/>
    </row>
    <row r="858">
      <c r="B858" s="14"/>
      <c r="J858" s="11"/>
    </row>
    <row r="859">
      <c r="B859" s="14"/>
      <c r="J859" s="11"/>
    </row>
    <row r="860">
      <c r="B860" s="14"/>
      <c r="J860" s="11"/>
    </row>
    <row r="861">
      <c r="B861" s="14"/>
      <c r="J861" s="11"/>
    </row>
    <row r="862">
      <c r="B862" s="14"/>
      <c r="J862" s="11"/>
    </row>
    <row r="863">
      <c r="B863" s="14"/>
      <c r="J863" s="11"/>
    </row>
    <row r="864">
      <c r="B864" s="14"/>
      <c r="J864" s="11"/>
    </row>
    <row r="865">
      <c r="B865" s="14"/>
      <c r="J865" s="11"/>
    </row>
    <row r="866">
      <c r="B866" s="14"/>
      <c r="J866" s="11"/>
    </row>
    <row r="867">
      <c r="B867" s="14"/>
      <c r="J867" s="11"/>
    </row>
    <row r="868">
      <c r="B868" s="14"/>
      <c r="J868" s="11"/>
    </row>
    <row r="869">
      <c r="B869" s="14"/>
      <c r="J869" s="11"/>
    </row>
    <row r="870">
      <c r="B870" s="14"/>
      <c r="J870" s="11"/>
    </row>
    <row r="871">
      <c r="B871" s="14"/>
      <c r="J871" s="11"/>
    </row>
    <row r="872">
      <c r="B872" s="14"/>
      <c r="J872" s="11"/>
    </row>
    <row r="873">
      <c r="B873" s="14"/>
      <c r="J873" s="11"/>
    </row>
    <row r="874">
      <c r="B874" s="14"/>
      <c r="J874" s="11"/>
    </row>
    <row r="875">
      <c r="B875" s="14"/>
      <c r="J875" s="11"/>
    </row>
    <row r="876">
      <c r="B876" s="14"/>
      <c r="J876" s="11"/>
    </row>
    <row r="877">
      <c r="B877" s="14"/>
      <c r="J877" s="11"/>
    </row>
    <row r="878">
      <c r="B878" s="14"/>
      <c r="J878" s="11"/>
    </row>
    <row r="879">
      <c r="B879" s="14"/>
      <c r="J879" s="11"/>
    </row>
    <row r="880">
      <c r="B880" s="14"/>
      <c r="J880" s="11"/>
    </row>
    <row r="881">
      <c r="B881" s="14"/>
      <c r="J881" s="11"/>
    </row>
    <row r="882">
      <c r="B882" s="14"/>
      <c r="J882" s="11"/>
    </row>
    <row r="883">
      <c r="B883" s="14"/>
      <c r="J883" s="11"/>
    </row>
    <row r="884">
      <c r="B884" s="14"/>
      <c r="J884" s="11"/>
    </row>
    <row r="885">
      <c r="B885" s="14"/>
      <c r="J885" s="11"/>
    </row>
    <row r="886">
      <c r="B886" s="14"/>
      <c r="J886" s="11"/>
    </row>
    <row r="887">
      <c r="B887" s="14"/>
      <c r="J887" s="11"/>
    </row>
    <row r="888">
      <c r="B888" s="14"/>
      <c r="J888" s="11"/>
    </row>
    <row r="889">
      <c r="B889" s="14"/>
      <c r="J889" s="11"/>
    </row>
    <row r="890">
      <c r="B890" s="14"/>
      <c r="J890" s="11"/>
    </row>
    <row r="891">
      <c r="B891" s="14"/>
      <c r="J891" s="11"/>
    </row>
    <row r="892">
      <c r="B892" s="14"/>
      <c r="J892" s="11"/>
    </row>
    <row r="893">
      <c r="B893" s="14"/>
      <c r="J893" s="11"/>
    </row>
    <row r="894">
      <c r="B894" s="14"/>
      <c r="J894" s="11"/>
    </row>
    <row r="895">
      <c r="B895" s="14"/>
      <c r="J895" s="11"/>
    </row>
    <row r="896">
      <c r="B896" s="14"/>
      <c r="J896" s="11"/>
    </row>
    <row r="897">
      <c r="B897" s="14"/>
      <c r="J897" s="11"/>
    </row>
    <row r="898">
      <c r="B898" s="14"/>
      <c r="J898" s="11"/>
    </row>
    <row r="899">
      <c r="B899" s="14"/>
      <c r="J899" s="11"/>
    </row>
    <row r="900">
      <c r="B900" s="14"/>
      <c r="J900" s="11"/>
    </row>
    <row r="901">
      <c r="B901" s="14"/>
      <c r="J901" s="11"/>
    </row>
    <row r="902">
      <c r="B902" s="14"/>
      <c r="J902" s="11"/>
    </row>
    <row r="903">
      <c r="B903" s="14"/>
      <c r="J903" s="11"/>
    </row>
    <row r="904">
      <c r="B904" s="14"/>
      <c r="J904" s="11"/>
    </row>
    <row r="905">
      <c r="B905" s="14"/>
      <c r="J905" s="11"/>
    </row>
    <row r="906">
      <c r="B906" s="14"/>
      <c r="J906" s="11"/>
    </row>
    <row r="907">
      <c r="B907" s="14"/>
      <c r="J907" s="11"/>
    </row>
    <row r="908">
      <c r="B908" s="14"/>
      <c r="J908" s="11"/>
    </row>
    <row r="909">
      <c r="B909" s="14"/>
      <c r="J909" s="11"/>
    </row>
    <row r="910">
      <c r="B910" s="14"/>
      <c r="J910" s="11"/>
    </row>
    <row r="911">
      <c r="B911" s="14"/>
      <c r="J911" s="11"/>
    </row>
    <row r="912">
      <c r="B912" s="14"/>
      <c r="J912" s="11"/>
    </row>
    <row r="913">
      <c r="B913" s="14"/>
      <c r="J913" s="11"/>
    </row>
    <row r="914">
      <c r="B914" s="14"/>
      <c r="J914" s="11"/>
    </row>
    <row r="915">
      <c r="B915" s="14"/>
      <c r="J915" s="11"/>
    </row>
    <row r="916">
      <c r="B916" s="14"/>
      <c r="J916" s="11"/>
    </row>
    <row r="917">
      <c r="B917" s="14"/>
      <c r="J917" s="11"/>
    </row>
    <row r="918">
      <c r="B918" s="14"/>
      <c r="J918" s="11"/>
    </row>
    <row r="919">
      <c r="B919" s="14"/>
      <c r="J919" s="11"/>
    </row>
    <row r="920">
      <c r="B920" s="14"/>
      <c r="J920" s="11"/>
    </row>
    <row r="921">
      <c r="B921" s="14"/>
      <c r="J921" s="11"/>
    </row>
    <row r="922">
      <c r="B922" s="14"/>
      <c r="J922" s="11"/>
    </row>
    <row r="923">
      <c r="B923" s="14"/>
      <c r="J923" s="11"/>
    </row>
    <row r="924">
      <c r="B924" s="14"/>
      <c r="J924" s="11"/>
    </row>
    <row r="925">
      <c r="B925" s="14"/>
      <c r="J925" s="11"/>
    </row>
    <row r="926">
      <c r="B926" s="14"/>
      <c r="J926" s="11"/>
    </row>
    <row r="927">
      <c r="B927" s="14"/>
      <c r="J927" s="11"/>
    </row>
    <row r="928">
      <c r="B928" s="14"/>
      <c r="J928" s="11"/>
    </row>
    <row r="929">
      <c r="B929" s="14"/>
      <c r="J929" s="11"/>
    </row>
    <row r="930">
      <c r="B930" s="14"/>
      <c r="J930" s="11"/>
    </row>
    <row r="931">
      <c r="B931" s="14"/>
      <c r="J931" s="11"/>
    </row>
    <row r="932">
      <c r="B932" s="14"/>
      <c r="J932" s="11"/>
    </row>
    <row r="933">
      <c r="B933" s="14"/>
      <c r="J933" s="11"/>
    </row>
    <row r="934">
      <c r="B934" s="14"/>
      <c r="J934" s="11"/>
    </row>
    <row r="935">
      <c r="B935" s="14"/>
      <c r="J935" s="11"/>
    </row>
    <row r="936">
      <c r="B936" s="14"/>
      <c r="J936" s="11"/>
    </row>
    <row r="937">
      <c r="B937" s="14"/>
      <c r="J937" s="11"/>
    </row>
    <row r="938">
      <c r="B938" s="14"/>
      <c r="J938" s="11"/>
    </row>
    <row r="939">
      <c r="B939" s="14"/>
      <c r="J939" s="11"/>
    </row>
    <row r="940">
      <c r="B940" s="14"/>
      <c r="J940" s="11"/>
    </row>
    <row r="941">
      <c r="B941" s="14"/>
      <c r="J941" s="11"/>
    </row>
    <row r="942">
      <c r="B942" s="14"/>
      <c r="J942" s="11"/>
    </row>
    <row r="943">
      <c r="B943" s="14"/>
      <c r="J943" s="11"/>
    </row>
    <row r="944">
      <c r="B944" s="14"/>
      <c r="J944" s="11"/>
    </row>
    <row r="945">
      <c r="B945" s="14"/>
      <c r="J945" s="11"/>
    </row>
    <row r="946">
      <c r="B946" s="14"/>
      <c r="J946" s="11"/>
    </row>
    <row r="947">
      <c r="B947" s="14"/>
      <c r="J947" s="11"/>
    </row>
    <row r="948">
      <c r="B948" s="14"/>
      <c r="J948" s="11"/>
    </row>
    <row r="949">
      <c r="B949" s="14"/>
      <c r="J949" s="11"/>
    </row>
    <row r="950">
      <c r="B950" s="14"/>
      <c r="J950" s="11"/>
    </row>
    <row r="951">
      <c r="B951" s="14"/>
      <c r="J951" s="11"/>
    </row>
    <row r="952">
      <c r="B952" s="14"/>
      <c r="J952" s="11"/>
    </row>
    <row r="953">
      <c r="B953" s="14"/>
      <c r="J953" s="11"/>
    </row>
    <row r="954">
      <c r="B954" s="14"/>
      <c r="J954" s="11"/>
    </row>
    <row r="955">
      <c r="B955" s="14"/>
      <c r="J955" s="11"/>
    </row>
    <row r="956">
      <c r="B956" s="14"/>
      <c r="J956" s="11"/>
    </row>
    <row r="957">
      <c r="B957" s="14"/>
      <c r="J957" s="11"/>
    </row>
    <row r="958">
      <c r="B958" s="14"/>
      <c r="J958" s="11"/>
    </row>
    <row r="959">
      <c r="B959" s="14"/>
      <c r="J959" s="11"/>
    </row>
    <row r="960">
      <c r="B960" s="14"/>
      <c r="J960" s="11"/>
    </row>
    <row r="961">
      <c r="B961" s="14"/>
      <c r="J961" s="11"/>
    </row>
    <row r="962">
      <c r="B962" s="14"/>
      <c r="J962" s="11"/>
    </row>
    <row r="963">
      <c r="B963" s="14"/>
      <c r="J963" s="11"/>
    </row>
    <row r="964">
      <c r="B964" s="14"/>
      <c r="J964" s="11"/>
    </row>
    <row r="965">
      <c r="B965" s="14"/>
      <c r="J965" s="11"/>
    </row>
    <row r="966">
      <c r="B966" s="14"/>
      <c r="J966" s="11"/>
    </row>
    <row r="967">
      <c r="B967" s="14"/>
      <c r="J967" s="11"/>
    </row>
    <row r="968">
      <c r="B968" s="14"/>
      <c r="J968" s="11"/>
    </row>
    <row r="969">
      <c r="B969" s="14"/>
      <c r="J969" s="11"/>
    </row>
    <row r="970">
      <c r="B970" s="14"/>
      <c r="J970" s="11"/>
    </row>
    <row r="971">
      <c r="B971" s="14"/>
      <c r="J971" s="11"/>
    </row>
    <row r="972">
      <c r="B972" s="14"/>
      <c r="J972" s="11"/>
    </row>
    <row r="973">
      <c r="B973" s="14"/>
      <c r="J973" s="11"/>
    </row>
    <row r="974">
      <c r="B974" s="14"/>
      <c r="J974" s="11"/>
    </row>
    <row r="975">
      <c r="B975" s="14"/>
      <c r="J975" s="11"/>
    </row>
    <row r="976">
      <c r="B976" s="14"/>
      <c r="J976" s="11"/>
    </row>
    <row r="977">
      <c r="B977" s="14"/>
      <c r="J977" s="11"/>
    </row>
    <row r="978">
      <c r="B978" s="14"/>
      <c r="J978" s="11"/>
    </row>
    <row r="979">
      <c r="B979" s="14"/>
      <c r="J979" s="11"/>
    </row>
    <row r="980">
      <c r="B980" s="14"/>
      <c r="J980" s="11"/>
    </row>
    <row r="981">
      <c r="B981" s="14"/>
      <c r="J981" s="11"/>
    </row>
    <row r="982">
      <c r="B982" s="14"/>
      <c r="J982" s="11"/>
    </row>
    <row r="983">
      <c r="B983" s="14"/>
      <c r="J983" s="11"/>
    </row>
    <row r="984">
      <c r="B984" s="14"/>
      <c r="J984" s="11"/>
    </row>
    <row r="985">
      <c r="B985" s="14"/>
      <c r="J985" s="11"/>
    </row>
    <row r="986">
      <c r="B986" s="14"/>
      <c r="J986" s="11"/>
    </row>
    <row r="987">
      <c r="B987" s="14"/>
      <c r="J987" s="11"/>
    </row>
    <row r="988">
      <c r="B988" s="14"/>
      <c r="J988" s="11"/>
    </row>
    <row r="989">
      <c r="B989" s="14"/>
      <c r="J989" s="11"/>
    </row>
    <row r="990">
      <c r="B990" s="14"/>
      <c r="J990" s="11"/>
    </row>
    <row r="991">
      <c r="B991" s="14"/>
      <c r="J991" s="11"/>
    </row>
    <row r="992">
      <c r="B992" s="14"/>
      <c r="J992" s="11"/>
    </row>
    <row r="993">
      <c r="B993" s="14"/>
      <c r="J993" s="11"/>
    </row>
    <row r="994">
      <c r="B994" s="14"/>
      <c r="J994" s="11"/>
    </row>
    <row r="995">
      <c r="B995" s="14"/>
      <c r="J995" s="11"/>
    </row>
    <row r="996">
      <c r="B996" s="14"/>
      <c r="J996" s="11"/>
    </row>
    <row r="997">
      <c r="B997" s="14"/>
      <c r="J997" s="11"/>
    </row>
    <row r="998">
      <c r="B998" s="14"/>
      <c r="J998" s="11"/>
    </row>
    <row r="999">
      <c r="B999" s="14"/>
      <c r="J999" s="11"/>
    </row>
    <row r="1000">
      <c r="B1000" s="14"/>
      <c r="J1000" s="11"/>
    </row>
  </sheetData>
  <mergeCells count="1">
    <mergeCell ref="A2:A7"/>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5.0"/>
    <col customWidth="1" min="4" max="4" width="46.0"/>
    <col customWidth="1" min="5" max="5" width="31.33"/>
    <col customWidth="1" min="6" max="6" width="25.0"/>
    <col customWidth="1" min="7" max="7" width="38.67"/>
    <col customWidth="1" min="8" max="8" width="44.0"/>
    <col customWidth="1" min="9" max="9" width="42.0"/>
    <col customWidth="1" min="10" max="10" width="25.0"/>
    <col customWidth="1" min="11" max="11" width="41.11"/>
  </cols>
  <sheetData>
    <row r="1">
      <c r="A1" s="7" t="s">
        <v>0</v>
      </c>
      <c r="B1" s="18" t="s">
        <v>1</v>
      </c>
      <c r="C1" s="8" t="s">
        <v>2</v>
      </c>
      <c r="D1" s="8" t="s">
        <v>3</v>
      </c>
      <c r="E1" s="8" t="s">
        <v>4</v>
      </c>
      <c r="F1" s="8" t="s">
        <v>5</v>
      </c>
      <c r="G1" s="8" t="s">
        <v>6</v>
      </c>
      <c r="H1" s="7" t="s">
        <v>7</v>
      </c>
      <c r="I1" s="7" t="s">
        <v>8</v>
      </c>
      <c r="J1" s="15" t="s">
        <v>87</v>
      </c>
      <c r="K1" s="7" t="s">
        <v>9</v>
      </c>
      <c r="M1" s="9"/>
      <c r="N1" s="9"/>
      <c r="O1" s="9"/>
      <c r="P1" s="9"/>
      <c r="Q1" s="9"/>
      <c r="R1" s="9"/>
      <c r="S1" s="9"/>
      <c r="T1" s="9"/>
      <c r="U1" s="9"/>
      <c r="V1" s="9"/>
      <c r="W1" s="9"/>
      <c r="X1" s="9"/>
      <c r="Y1" s="9"/>
      <c r="Z1" s="9"/>
      <c r="AA1" s="9"/>
    </row>
    <row r="2">
      <c r="A2" s="16" t="s">
        <v>187</v>
      </c>
      <c r="B2" s="19">
        <v>1.0</v>
      </c>
      <c r="C2" s="5" t="s">
        <v>188</v>
      </c>
      <c r="D2" s="5" t="s">
        <v>189</v>
      </c>
      <c r="E2" s="5" t="s">
        <v>190</v>
      </c>
      <c r="F2" s="5" t="s">
        <v>191</v>
      </c>
      <c r="G2" s="5" t="s">
        <v>192</v>
      </c>
      <c r="H2" s="5" t="s">
        <v>193</v>
      </c>
      <c r="I2" s="5" t="s">
        <v>194</v>
      </c>
      <c r="J2" s="6" t="s">
        <v>96</v>
      </c>
      <c r="K2" s="5" t="s">
        <v>195</v>
      </c>
    </row>
    <row r="3">
      <c r="B3" s="19">
        <v>2.0</v>
      </c>
      <c r="C3" s="5" t="s">
        <v>196</v>
      </c>
      <c r="D3" s="5" t="s">
        <v>197</v>
      </c>
      <c r="E3" s="5" t="s">
        <v>198</v>
      </c>
      <c r="F3" s="5" t="s">
        <v>199</v>
      </c>
      <c r="G3" s="5" t="s">
        <v>200</v>
      </c>
      <c r="H3" s="5" t="s">
        <v>201</v>
      </c>
      <c r="I3" s="5" t="s">
        <v>202</v>
      </c>
      <c r="J3" s="6" t="s">
        <v>96</v>
      </c>
      <c r="K3" s="5" t="s">
        <v>203</v>
      </c>
    </row>
    <row r="4">
      <c r="B4" s="19">
        <v>3.0</v>
      </c>
      <c r="C4" s="5" t="s">
        <v>204</v>
      </c>
      <c r="D4" s="5" t="s">
        <v>205</v>
      </c>
      <c r="E4" s="5" t="s">
        <v>206</v>
      </c>
      <c r="F4" s="5" t="s">
        <v>199</v>
      </c>
      <c r="G4" s="5" t="s">
        <v>207</v>
      </c>
      <c r="H4" s="5" t="s">
        <v>208</v>
      </c>
      <c r="I4" s="5" t="s">
        <v>209</v>
      </c>
      <c r="J4" s="6" t="s">
        <v>96</v>
      </c>
      <c r="K4" s="5" t="s">
        <v>210</v>
      </c>
    </row>
    <row r="5">
      <c r="B5" s="19">
        <v>4.0</v>
      </c>
      <c r="C5" s="5" t="s">
        <v>211</v>
      </c>
      <c r="D5" s="5" t="s">
        <v>212</v>
      </c>
      <c r="E5" s="5" t="s">
        <v>213</v>
      </c>
      <c r="F5" s="5" t="s">
        <v>214</v>
      </c>
      <c r="G5" s="5" t="s">
        <v>215</v>
      </c>
      <c r="H5" s="5" t="s">
        <v>216</v>
      </c>
      <c r="I5" s="5" t="s">
        <v>217</v>
      </c>
      <c r="J5" s="6" t="s">
        <v>96</v>
      </c>
      <c r="K5" s="5" t="s">
        <v>218</v>
      </c>
    </row>
    <row r="6">
      <c r="B6" s="19">
        <v>5.0</v>
      </c>
      <c r="C6" s="5" t="s">
        <v>219</v>
      </c>
      <c r="D6" s="5" t="s">
        <v>220</v>
      </c>
      <c r="E6" s="5" t="s">
        <v>221</v>
      </c>
      <c r="F6" s="5" t="s">
        <v>222</v>
      </c>
      <c r="G6" s="5" t="s">
        <v>223</v>
      </c>
      <c r="H6" s="5" t="s">
        <v>224</v>
      </c>
      <c r="I6" s="5" t="s">
        <v>225</v>
      </c>
      <c r="J6" s="6" t="s">
        <v>96</v>
      </c>
      <c r="K6" s="5" t="s">
        <v>226</v>
      </c>
    </row>
    <row r="7">
      <c r="B7" s="11"/>
      <c r="J7" s="11"/>
    </row>
    <row r="8">
      <c r="B8" s="11"/>
      <c r="J8" s="11"/>
    </row>
    <row r="9">
      <c r="B9" s="11"/>
      <c r="J9" s="11"/>
    </row>
    <row r="10">
      <c r="B10" s="11"/>
      <c r="J10" s="11"/>
    </row>
    <row r="11">
      <c r="B11" s="11"/>
      <c r="J11" s="11"/>
    </row>
    <row r="12">
      <c r="B12" s="11"/>
      <c r="J12" s="11"/>
    </row>
    <row r="13">
      <c r="B13" s="11"/>
      <c r="J13" s="11"/>
    </row>
    <row r="14">
      <c r="B14" s="11"/>
      <c r="J14" s="11"/>
    </row>
    <row r="15">
      <c r="B15" s="11"/>
      <c r="J15" s="11"/>
    </row>
    <row r="16">
      <c r="B16" s="11"/>
      <c r="J16" s="11"/>
    </row>
    <row r="17">
      <c r="B17" s="11"/>
      <c r="J17" s="11"/>
    </row>
    <row r="18">
      <c r="B18" s="11"/>
      <c r="J18" s="11"/>
    </row>
    <row r="19">
      <c r="B19" s="11"/>
      <c r="J19" s="11"/>
    </row>
    <row r="20">
      <c r="B20" s="11"/>
      <c r="J20" s="11"/>
    </row>
    <row r="21">
      <c r="B21" s="11"/>
      <c r="J21" s="11"/>
    </row>
    <row r="22">
      <c r="B22" s="11"/>
      <c r="J22" s="11"/>
    </row>
    <row r="23">
      <c r="B23" s="11"/>
      <c r="J23" s="11"/>
    </row>
    <row r="24">
      <c r="B24" s="11"/>
      <c r="J24" s="11"/>
    </row>
    <row r="25">
      <c r="B25" s="11"/>
      <c r="J25" s="11"/>
    </row>
    <row r="26">
      <c r="B26" s="11"/>
      <c r="J26" s="11"/>
    </row>
    <row r="27">
      <c r="B27" s="11"/>
      <c r="J27" s="11"/>
    </row>
    <row r="28">
      <c r="B28" s="11"/>
      <c r="J28" s="11"/>
    </row>
    <row r="29">
      <c r="B29" s="11"/>
      <c r="J29" s="11"/>
    </row>
    <row r="30">
      <c r="B30" s="11"/>
      <c r="J30" s="11"/>
    </row>
    <row r="31">
      <c r="B31" s="11"/>
      <c r="J31" s="11"/>
    </row>
    <row r="32">
      <c r="B32" s="11"/>
      <c r="J32" s="11"/>
    </row>
    <row r="33">
      <c r="B33" s="11"/>
      <c r="J33" s="11"/>
    </row>
    <row r="34">
      <c r="B34" s="11"/>
      <c r="J34" s="11"/>
    </row>
    <row r="35">
      <c r="B35" s="11"/>
      <c r="J35" s="11"/>
    </row>
    <row r="36">
      <c r="B36" s="11"/>
      <c r="J36" s="11"/>
    </row>
    <row r="37">
      <c r="B37" s="11"/>
      <c r="J37" s="11"/>
    </row>
    <row r="38">
      <c r="B38" s="11"/>
      <c r="J38" s="11"/>
    </row>
    <row r="39">
      <c r="B39" s="11"/>
      <c r="J39" s="11"/>
    </row>
    <row r="40">
      <c r="B40" s="11"/>
      <c r="J40" s="11"/>
    </row>
    <row r="41">
      <c r="B41" s="11"/>
      <c r="J41" s="11"/>
    </row>
    <row r="42">
      <c r="B42" s="11"/>
      <c r="J42" s="11"/>
    </row>
    <row r="43">
      <c r="B43" s="11"/>
      <c r="J43" s="11"/>
    </row>
    <row r="44">
      <c r="B44" s="11"/>
      <c r="J44" s="11"/>
    </row>
    <row r="45">
      <c r="B45" s="11"/>
      <c r="J45" s="11"/>
    </row>
    <row r="46">
      <c r="B46" s="11"/>
      <c r="J46" s="11"/>
    </row>
    <row r="47">
      <c r="B47" s="11"/>
      <c r="J47" s="11"/>
    </row>
    <row r="48">
      <c r="B48" s="11"/>
      <c r="J48" s="11"/>
    </row>
    <row r="49">
      <c r="B49" s="11"/>
      <c r="J49" s="11"/>
    </row>
    <row r="50">
      <c r="B50" s="11"/>
      <c r="J50" s="11"/>
    </row>
    <row r="51">
      <c r="B51" s="11"/>
      <c r="J51" s="11"/>
    </row>
    <row r="52">
      <c r="B52" s="11"/>
      <c r="J52" s="11"/>
    </row>
    <row r="53">
      <c r="B53" s="11"/>
      <c r="J53" s="11"/>
    </row>
    <row r="54">
      <c r="B54" s="11"/>
      <c r="J54" s="11"/>
    </row>
    <row r="55">
      <c r="B55" s="11"/>
      <c r="J55" s="11"/>
    </row>
    <row r="56">
      <c r="B56" s="11"/>
      <c r="J56" s="11"/>
    </row>
    <row r="57">
      <c r="B57" s="11"/>
      <c r="J57" s="11"/>
    </row>
    <row r="58">
      <c r="B58" s="11"/>
      <c r="J58" s="11"/>
    </row>
    <row r="59">
      <c r="B59" s="11"/>
      <c r="J59" s="11"/>
    </row>
    <row r="60">
      <c r="B60" s="11"/>
      <c r="J60" s="11"/>
    </row>
    <row r="61">
      <c r="B61" s="11"/>
      <c r="J61" s="11"/>
    </row>
    <row r="62">
      <c r="B62" s="11"/>
      <c r="J62" s="11"/>
    </row>
    <row r="63">
      <c r="B63" s="11"/>
      <c r="J63" s="11"/>
    </row>
    <row r="64">
      <c r="B64" s="11"/>
      <c r="J64" s="11"/>
    </row>
    <row r="65">
      <c r="B65" s="11"/>
      <c r="J65" s="11"/>
    </row>
    <row r="66">
      <c r="B66" s="11"/>
      <c r="J66" s="11"/>
    </row>
    <row r="67">
      <c r="B67" s="11"/>
      <c r="J67" s="11"/>
    </row>
    <row r="68">
      <c r="B68" s="11"/>
      <c r="J68" s="11"/>
    </row>
    <row r="69">
      <c r="B69" s="11"/>
      <c r="J69" s="11"/>
    </row>
    <row r="70">
      <c r="B70" s="11"/>
      <c r="J70" s="11"/>
    </row>
    <row r="71">
      <c r="B71" s="11"/>
      <c r="J71" s="11"/>
    </row>
    <row r="72">
      <c r="B72" s="11"/>
      <c r="J72" s="11"/>
    </row>
    <row r="73">
      <c r="B73" s="11"/>
      <c r="J73" s="11"/>
    </row>
    <row r="74">
      <c r="B74" s="11"/>
      <c r="J74" s="11"/>
    </row>
    <row r="75">
      <c r="B75" s="11"/>
      <c r="J75" s="11"/>
    </row>
    <row r="76">
      <c r="B76" s="11"/>
      <c r="J76" s="11"/>
    </row>
    <row r="77">
      <c r="B77" s="11"/>
      <c r="J77" s="11"/>
    </row>
    <row r="78">
      <c r="B78" s="11"/>
      <c r="J78" s="11"/>
    </row>
    <row r="79">
      <c r="B79" s="11"/>
      <c r="J79" s="11"/>
    </row>
    <row r="80">
      <c r="B80" s="11"/>
      <c r="J80" s="11"/>
    </row>
    <row r="81">
      <c r="B81" s="11"/>
      <c r="J81" s="11"/>
    </row>
    <row r="82">
      <c r="B82" s="11"/>
      <c r="J82" s="11"/>
    </row>
    <row r="83">
      <c r="B83" s="11"/>
      <c r="J83" s="11"/>
    </row>
    <row r="84">
      <c r="B84" s="11"/>
      <c r="J84" s="11"/>
    </row>
    <row r="85">
      <c r="B85" s="11"/>
      <c r="J85" s="11"/>
    </row>
    <row r="86">
      <c r="B86" s="11"/>
      <c r="J86" s="11"/>
    </row>
    <row r="87">
      <c r="B87" s="11"/>
      <c r="J87" s="11"/>
    </row>
    <row r="88">
      <c r="B88" s="11"/>
      <c r="J88" s="11"/>
    </row>
    <row r="89">
      <c r="B89" s="11"/>
      <c r="J89" s="11"/>
    </row>
    <row r="90">
      <c r="B90" s="11"/>
      <c r="J90" s="11"/>
    </row>
    <row r="91">
      <c r="B91" s="11"/>
      <c r="J91" s="11"/>
    </row>
    <row r="92">
      <c r="B92" s="11"/>
      <c r="J92" s="11"/>
    </row>
    <row r="93">
      <c r="B93" s="11"/>
      <c r="J93" s="11"/>
    </row>
    <row r="94">
      <c r="B94" s="11"/>
      <c r="J94" s="11"/>
    </row>
    <row r="95">
      <c r="B95" s="11"/>
      <c r="J95" s="11"/>
    </row>
    <row r="96">
      <c r="B96" s="11"/>
      <c r="J96" s="11"/>
    </row>
    <row r="97">
      <c r="B97" s="11"/>
      <c r="J97" s="11"/>
    </row>
    <row r="98">
      <c r="B98" s="11"/>
      <c r="J98" s="11"/>
    </row>
    <row r="99">
      <c r="B99" s="11"/>
      <c r="J99" s="11"/>
    </row>
    <row r="100">
      <c r="B100" s="11"/>
      <c r="J100" s="11"/>
    </row>
    <row r="101">
      <c r="B101" s="11"/>
      <c r="J101" s="11"/>
    </row>
    <row r="102">
      <c r="B102" s="11"/>
      <c r="J102" s="11"/>
    </row>
    <row r="103">
      <c r="B103" s="11"/>
      <c r="J103" s="11"/>
    </row>
    <row r="104">
      <c r="B104" s="11"/>
      <c r="J104" s="11"/>
    </row>
    <row r="105">
      <c r="B105" s="11"/>
      <c r="J105" s="11"/>
    </row>
    <row r="106">
      <c r="B106" s="11"/>
      <c r="J106" s="11"/>
    </row>
    <row r="107">
      <c r="B107" s="11"/>
      <c r="J107" s="11"/>
    </row>
    <row r="108">
      <c r="B108" s="11"/>
      <c r="J108" s="11"/>
    </row>
    <row r="109">
      <c r="B109" s="11"/>
      <c r="J109" s="11"/>
    </row>
    <row r="110">
      <c r="B110" s="11"/>
      <c r="J110" s="11"/>
    </row>
    <row r="111">
      <c r="B111" s="11"/>
      <c r="J111" s="11"/>
    </row>
    <row r="112">
      <c r="B112" s="11"/>
      <c r="J112" s="11"/>
    </row>
    <row r="113">
      <c r="B113" s="11"/>
      <c r="J113" s="11"/>
    </row>
    <row r="114">
      <c r="B114" s="11"/>
      <c r="J114" s="11"/>
    </row>
    <row r="115">
      <c r="B115" s="11"/>
      <c r="J115" s="11"/>
    </row>
    <row r="116">
      <c r="B116" s="11"/>
      <c r="J116" s="11"/>
    </row>
    <row r="117">
      <c r="B117" s="11"/>
      <c r="J117" s="11"/>
    </row>
    <row r="118">
      <c r="B118" s="11"/>
      <c r="J118" s="11"/>
    </row>
    <row r="119">
      <c r="B119" s="11"/>
      <c r="J119" s="11"/>
    </row>
    <row r="120">
      <c r="B120" s="11"/>
      <c r="J120" s="11"/>
    </row>
    <row r="121">
      <c r="B121" s="11"/>
      <c r="J121" s="11"/>
    </row>
    <row r="122">
      <c r="B122" s="11"/>
      <c r="J122" s="11"/>
    </row>
    <row r="123">
      <c r="B123" s="11"/>
      <c r="J123" s="11"/>
    </row>
    <row r="124">
      <c r="B124" s="11"/>
      <c r="J124" s="11"/>
    </row>
    <row r="125">
      <c r="B125" s="11"/>
      <c r="J125" s="11"/>
    </row>
    <row r="126">
      <c r="B126" s="11"/>
      <c r="J126" s="11"/>
    </row>
    <row r="127">
      <c r="B127" s="11"/>
      <c r="J127" s="11"/>
    </row>
    <row r="128">
      <c r="B128" s="11"/>
      <c r="J128" s="11"/>
    </row>
    <row r="129">
      <c r="B129" s="11"/>
      <c r="J129" s="11"/>
    </row>
    <row r="130">
      <c r="B130" s="11"/>
      <c r="J130" s="11"/>
    </row>
    <row r="131">
      <c r="B131" s="11"/>
      <c r="J131" s="11"/>
    </row>
    <row r="132">
      <c r="B132" s="11"/>
      <c r="J132" s="11"/>
    </row>
    <row r="133">
      <c r="B133" s="11"/>
      <c r="J133" s="11"/>
    </row>
    <row r="134">
      <c r="B134" s="11"/>
      <c r="J134" s="11"/>
    </row>
    <row r="135">
      <c r="B135" s="11"/>
      <c r="J135" s="11"/>
    </row>
    <row r="136">
      <c r="B136" s="11"/>
      <c r="J136" s="11"/>
    </row>
    <row r="137">
      <c r="B137" s="11"/>
      <c r="J137" s="11"/>
    </row>
    <row r="138">
      <c r="B138" s="11"/>
      <c r="J138" s="11"/>
    </row>
    <row r="139">
      <c r="B139" s="11"/>
      <c r="J139" s="11"/>
    </row>
    <row r="140">
      <c r="B140" s="11"/>
      <c r="J140" s="11"/>
    </row>
    <row r="141">
      <c r="B141" s="11"/>
      <c r="J141" s="11"/>
    </row>
    <row r="142">
      <c r="B142" s="11"/>
      <c r="J142" s="11"/>
    </row>
    <row r="143">
      <c r="B143" s="11"/>
      <c r="J143" s="11"/>
    </row>
    <row r="144">
      <c r="B144" s="11"/>
      <c r="J144" s="11"/>
    </row>
    <row r="145">
      <c r="B145" s="11"/>
      <c r="J145" s="11"/>
    </row>
    <row r="146">
      <c r="B146" s="11"/>
      <c r="J146" s="11"/>
    </row>
    <row r="147">
      <c r="B147" s="11"/>
      <c r="J147" s="11"/>
    </row>
    <row r="148">
      <c r="B148" s="11"/>
      <c r="J148" s="11"/>
    </row>
    <row r="149">
      <c r="B149" s="11"/>
      <c r="J149" s="11"/>
    </row>
    <row r="150">
      <c r="B150" s="11"/>
      <c r="J150" s="11"/>
    </row>
    <row r="151">
      <c r="B151" s="11"/>
      <c r="J151" s="11"/>
    </row>
    <row r="152">
      <c r="B152" s="11"/>
      <c r="J152" s="11"/>
    </row>
    <row r="153">
      <c r="B153" s="11"/>
      <c r="J153" s="11"/>
    </row>
    <row r="154">
      <c r="B154" s="11"/>
      <c r="J154" s="11"/>
    </row>
    <row r="155">
      <c r="B155" s="11"/>
      <c r="J155" s="11"/>
    </row>
    <row r="156">
      <c r="B156" s="11"/>
      <c r="J156" s="11"/>
    </row>
    <row r="157">
      <c r="B157" s="11"/>
      <c r="J157" s="11"/>
    </row>
    <row r="158">
      <c r="B158" s="11"/>
      <c r="J158" s="11"/>
    </row>
    <row r="159">
      <c r="B159" s="11"/>
      <c r="J159" s="11"/>
    </row>
    <row r="160">
      <c r="B160" s="11"/>
      <c r="J160" s="11"/>
    </row>
    <row r="161">
      <c r="B161" s="11"/>
      <c r="J161" s="11"/>
    </row>
    <row r="162">
      <c r="B162" s="11"/>
      <c r="J162" s="11"/>
    </row>
    <row r="163">
      <c r="B163" s="11"/>
      <c r="J163" s="11"/>
    </row>
    <row r="164">
      <c r="B164" s="11"/>
      <c r="J164" s="11"/>
    </row>
    <row r="165">
      <c r="B165" s="11"/>
      <c r="J165" s="11"/>
    </row>
    <row r="166">
      <c r="B166" s="11"/>
      <c r="J166" s="11"/>
    </row>
    <row r="167">
      <c r="B167" s="11"/>
      <c r="J167" s="11"/>
    </row>
    <row r="168">
      <c r="B168" s="11"/>
      <c r="J168" s="11"/>
    </row>
    <row r="169">
      <c r="B169" s="11"/>
      <c r="J169" s="11"/>
    </row>
    <row r="170">
      <c r="B170" s="11"/>
      <c r="J170" s="11"/>
    </row>
    <row r="171">
      <c r="B171" s="11"/>
      <c r="J171" s="11"/>
    </row>
    <row r="172">
      <c r="B172" s="11"/>
      <c r="J172" s="11"/>
    </row>
    <row r="173">
      <c r="B173" s="11"/>
      <c r="J173" s="11"/>
    </row>
    <row r="174">
      <c r="B174" s="11"/>
      <c r="J174" s="11"/>
    </row>
    <row r="175">
      <c r="B175" s="11"/>
      <c r="J175" s="11"/>
    </row>
    <row r="176">
      <c r="B176" s="11"/>
      <c r="J176" s="11"/>
    </row>
    <row r="177">
      <c r="B177" s="11"/>
      <c r="J177" s="11"/>
    </row>
    <row r="178">
      <c r="B178" s="11"/>
      <c r="J178" s="11"/>
    </row>
    <row r="179">
      <c r="B179" s="11"/>
      <c r="J179" s="11"/>
    </row>
    <row r="180">
      <c r="B180" s="11"/>
      <c r="J180" s="11"/>
    </row>
    <row r="181">
      <c r="B181" s="11"/>
      <c r="J181" s="11"/>
    </row>
    <row r="182">
      <c r="B182" s="11"/>
      <c r="J182" s="11"/>
    </row>
    <row r="183">
      <c r="B183" s="11"/>
      <c r="J183" s="11"/>
    </row>
    <row r="184">
      <c r="B184" s="11"/>
      <c r="J184" s="11"/>
    </row>
    <row r="185">
      <c r="B185" s="11"/>
      <c r="J185" s="11"/>
    </row>
    <row r="186">
      <c r="B186" s="11"/>
      <c r="J186" s="11"/>
    </row>
    <row r="187">
      <c r="B187" s="11"/>
      <c r="J187" s="11"/>
    </row>
    <row r="188">
      <c r="B188" s="11"/>
      <c r="J188" s="11"/>
    </row>
    <row r="189">
      <c r="B189" s="11"/>
      <c r="J189" s="11"/>
    </row>
    <row r="190">
      <c r="B190" s="11"/>
      <c r="J190" s="11"/>
    </row>
    <row r="191">
      <c r="B191" s="11"/>
      <c r="J191" s="11"/>
    </row>
    <row r="192">
      <c r="B192" s="11"/>
      <c r="J192" s="11"/>
    </row>
    <row r="193">
      <c r="B193" s="11"/>
      <c r="J193" s="11"/>
    </row>
    <row r="194">
      <c r="B194" s="11"/>
      <c r="J194" s="11"/>
    </row>
    <row r="195">
      <c r="B195" s="11"/>
      <c r="J195" s="11"/>
    </row>
    <row r="196">
      <c r="B196" s="11"/>
      <c r="J196" s="11"/>
    </row>
    <row r="197">
      <c r="B197" s="11"/>
      <c r="J197" s="11"/>
    </row>
    <row r="198">
      <c r="B198" s="11"/>
      <c r="J198" s="11"/>
    </row>
    <row r="199">
      <c r="B199" s="11"/>
      <c r="J199" s="11"/>
    </row>
    <row r="200">
      <c r="B200" s="11"/>
      <c r="J200" s="11"/>
    </row>
    <row r="201">
      <c r="B201" s="11"/>
      <c r="J201" s="11"/>
    </row>
    <row r="202">
      <c r="B202" s="11"/>
      <c r="J202" s="11"/>
    </row>
    <row r="203">
      <c r="B203" s="11"/>
      <c r="J203" s="11"/>
    </row>
    <row r="204">
      <c r="B204" s="11"/>
      <c r="J204" s="11"/>
    </row>
    <row r="205">
      <c r="B205" s="11"/>
      <c r="J205" s="11"/>
    </row>
    <row r="206">
      <c r="B206" s="11"/>
      <c r="J206" s="11"/>
    </row>
    <row r="207">
      <c r="B207" s="11"/>
      <c r="J207" s="11"/>
    </row>
    <row r="208">
      <c r="B208" s="11"/>
      <c r="J208" s="11"/>
    </row>
    <row r="209">
      <c r="B209" s="11"/>
      <c r="J209" s="11"/>
    </row>
    <row r="210">
      <c r="B210" s="11"/>
      <c r="J210" s="11"/>
    </row>
    <row r="211">
      <c r="B211" s="11"/>
      <c r="J211" s="11"/>
    </row>
    <row r="212">
      <c r="B212" s="11"/>
      <c r="J212" s="11"/>
    </row>
    <row r="213">
      <c r="B213" s="11"/>
      <c r="J213" s="11"/>
    </row>
    <row r="214">
      <c r="B214" s="11"/>
      <c r="J214" s="11"/>
    </row>
    <row r="215">
      <c r="B215" s="11"/>
      <c r="J215" s="11"/>
    </row>
    <row r="216">
      <c r="B216" s="11"/>
      <c r="J216" s="11"/>
    </row>
    <row r="217">
      <c r="B217" s="11"/>
      <c r="J217" s="11"/>
    </row>
    <row r="218">
      <c r="B218" s="11"/>
      <c r="J218" s="11"/>
    </row>
    <row r="219">
      <c r="B219" s="11"/>
      <c r="J219" s="11"/>
    </row>
    <row r="220">
      <c r="B220" s="11"/>
      <c r="J220" s="11"/>
    </row>
    <row r="221">
      <c r="B221" s="11"/>
      <c r="J221" s="11"/>
    </row>
    <row r="222">
      <c r="B222" s="11"/>
      <c r="J222" s="11"/>
    </row>
    <row r="223">
      <c r="B223" s="11"/>
      <c r="J223" s="11"/>
    </row>
    <row r="224">
      <c r="B224" s="11"/>
      <c r="J224" s="11"/>
    </row>
    <row r="225">
      <c r="B225" s="11"/>
      <c r="J225" s="11"/>
    </row>
    <row r="226">
      <c r="B226" s="11"/>
      <c r="J226" s="11"/>
    </row>
    <row r="227">
      <c r="B227" s="11"/>
      <c r="J227" s="11"/>
    </row>
    <row r="228">
      <c r="B228" s="11"/>
      <c r="J228" s="11"/>
    </row>
    <row r="229">
      <c r="B229" s="11"/>
      <c r="J229" s="11"/>
    </row>
    <row r="230">
      <c r="B230" s="11"/>
      <c r="J230" s="11"/>
    </row>
    <row r="231">
      <c r="B231" s="11"/>
      <c r="J231" s="11"/>
    </row>
    <row r="232">
      <c r="B232" s="11"/>
      <c r="J232" s="11"/>
    </row>
    <row r="233">
      <c r="B233" s="11"/>
      <c r="J233" s="11"/>
    </row>
    <row r="234">
      <c r="B234" s="11"/>
      <c r="J234" s="11"/>
    </row>
    <row r="235">
      <c r="B235" s="11"/>
      <c r="J235" s="11"/>
    </row>
    <row r="236">
      <c r="B236" s="11"/>
      <c r="J236" s="11"/>
    </row>
    <row r="237">
      <c r="B237" s="11"/>
      <c r="J237" s="11"/>
    </row>
    <row r="238">
      <c r="B238" s="11"/>
      <c r="J238" s="11"/>
    </row>
    <row r="239">
      <c r="B239" s="11"/>
      <c r="J239" s="11"/>
    </row>
    <row r="240">
      <c r="B240" s="11"/>
      <c r="J240" s="11"/>
    </row>
    <row r="241">
      <c r="B241" s="11"/>
      <c r="J241" s="11"/>
    </row>
    <row r="242">
      <c r="B242" s="11"/>
      <c r="J242" s="11"/>
    </row>
    <row r="243">
      <c r="B243" s="11"/>
      <c r="J243" s="11"/>
    </row>
    <row r="244">
      <c r="B244" s="11"/>
      <c r="J244" s="11"/>
    </row>
    <row r="245">
      <c r="B245" s="11"/>
      <c r="J245" s="11"/>
    </row>
    <row r="246">
      <c r="B246" s="11"/>
      <c r="J246" s="11"/>
    </row>
    <row r="247">
      <c r="B247" s="11"/>
      <c r="J247" s="11"/>
    </row>
    <row r="248">
      <c r="B248" s="11"/>
      <c r="J248" s="11"/>
    </row>
    <row r="249">
      <c r="B249" s="11"/>
      <c r="J249" s="11"/>
    </row>
    <row r="250">
      <c r="B250" s="11"/>
      <c r="J250" s="11"/>
    </row>
    <row r="251">
      <c r="B251" s="11"/>
      <c r="J251" s="11"/>
    </row>
    <row r="252">
      <c r="B252" s="11"/>
      <c r="J252" s="11"/>
    </row>
    <row r="253">
      <c r="B253" s="11"/>
      <c r="J253" s="11"/>
    </row>
    <row r="254">
      <c r="B254" s="11"/>
      <c r="J254" s="11"/>
    </row>
    <row r="255">
      <c r="B255" s="11"/>
      <c r="J255" s="11"/>
    </row>
    <row r="256">
      <c r="B256" s="11"/>
      <c r="J256" s="11"/>
    </row>
    <row r="257">
      <c r="B257" s="11"/>
      <c r="J257" s="11"/>
    </row>
    <row r="258">
      <c r="B258" s="11"/>
      <c r="J258" s="11"/>
    </row>
    <row r="259">
      <c r="B259" s="11"/>
      <c r="J259" s="11"/>
    </row>
    <row r="260">
      <c r="B260" s="11"/>
      <c r="J260" s="11"/>
    </row>
    <row r="261">
      <c r="B261" s="11"/>
      <c r="J261" s="11"/>
    </row>
    <row r="262">
      <c r="B262" s="11"/>
      <c r="J262" s="11"/>
    </row>
    <row r="263">
      <c r="B263" s="11"/>
      <c r="J263" s="11"/>
    </row>
    <row r="264">
      <c r="B264" s="11"/>
      <c r="J264" s="11"/>
    </row>
    <row r="265">
      <c r="B265" s="11"/>
      <c r="J265" s="11"/>
    </row>
    <row r="266">
      <c r="B266" s="11"/>
      <c r="J266" s="11"/>
    </row>
    <row r="267">
      <c r="B267" s="11"/>
      <c r="J267" s="11"/>
    </row>
    <row r="268">
      <c r="B268" s="11"/>
      <c r="J268" s="11"/>
    </row>
    <row r="269">
      <c r="B269" s="11"/>
      <c r="J269" s="11"/>
    </row>
    <row r="270">
      <c r="B270" s="11"/>
      <c r="J270" s="11"/>
    </row>
    <row r="271">
      <c r="B271" s="11"/>
      <c r="J271" s="11"/>
    </row>
    <row r="272">
      <c r="B272" s="11"/>
      <c r="J272" s="11"/>
    </row>
    <row r="273">
      <c r="B273" s="11"/>
      <c r="J273" s="11"/>
    </row>
    <row r="274">
      <c r="B274" s="11"/>
      <c r="J274" s="11"/>
    </row>
    <row r="275">
      <c r="B275" s="11"/>
      <c r="J275" s="11"/>
    </row>
    <row r="276">
      <c r="B276" s="11"/>
      <c r="J276" s="11"/>
    </row>
    <row r="277">
      <c r="B277" s="11"/>
      <c r="J277" s="11"/>
    </row>
    <row r="278">
      <c r="B278" s="11"/>
      <c r="J278" s="11"/>
    </row>
    <row r="279">
      <c r="B279" s="11"/>
      <c r="J279" s="11"/>
    </row>
    <row r="280">
      <c r="B280" s="11"/>
      <c r="J280" s="11"/>
    </row>
    <row r="281">
      <c r="B281" s="11"/>
      <c r="J281" s="11"/>
    </row>
    <row r="282">
      <c r="B282" s="11"/>
      <c r="J282" s="11"/>
    </row>
    <row r="283">
      <c r="B283" s="11"/>
      <c r="J283" s="11"/>
    </row>
    <row r="284">
      <c r="B284" s="11"/>
      <c r="J284" s="11"/>
    </row>
    <row r="285">
      <c r="B285" s="11"/>
      <c r="J285" s="11"/>
    </row>
    <row r="286">
      <c r="B286" s="11"/>
      <c r="J286" s="11"/>
    </row>
    <row r="287">
      <c r="B287" s="11"/>
      <c r="J287" s="11"/>
    </row>
    <row r="288">
      <c r="B288" s="11"/>
      <c r="J288" s="11"/>
    </row>
    <row r="289">
      <c r="B289" s="11"/>
      <c r="J289" s="11"/>
    </row>
    <row r="290">
      <c r="B290" s="11"/>
      <c r="J290" s="11"/>
    </row>
    <row r="291">
      <c r="B291" s="11"/>
      <c r="J291" s="11"/>
    </row>
    <row r="292">
      <c r="B292" s="11"/>
      <c r="J292" s="11"/>
    </row>
    <row r="293">
      <c r="B293" s="11"/>
      <c r="J293" s="11"/>
    </row>
    <row r="294">
      <c r="B294" s="11"/>
      <c r="J294" s="11"/>
    </row>
    <row r="295">
      <c r="B295" s="11"/>
      <c r="J295" s="11"/>
    </row>
    <row r="296">
      <c r="B296" s="11"/>
      <c r="J296" s="11"/>
    </row>
    <row r="297">
      <c r="B297" s="11"/>
      <c r="J297" s="11"/>
    </row>
    <row r="298">
      <c r="B298" s="11"/>
      <c r="J298" s="11"/>
    </row>
    <row r="299">
      <c r="B299" s="11"/>
      <c r="J299" s="11"/>
    </row>
    <row r="300">
      <c r="B300" s="11"/>
      <c r="J300" s="11"/>
    </row>
    <row r="301">
      <c r="B301" s="11"/>
      <c r="J301" s="11"/>
    </row>
    <row r="302">
      <c r="B302" s="11"/>
      <c r="J302" s="11"/>
    </row>
    <row r="303">
      <c r="B303" s="11"/>
      <c r="J303" s="11"/>
    </row>
    <row r="304">
      <c r="B304" s="11"/>
      <c r="J304" s="11"/>
    </row>
    <row r="305">
      <c r="B305" s="11"/>
      <c r="J305" s="11"/>
    </row>
    <row r="306">
      <c r="B306" s="11"/>
      <c r="J306" s="11"/>
    </row>
    <row r="307">
      <c r="B307" s="11"/>
      <c r="J307" s="11"/>
    </row>
    <row r="308">
      <c r="B308" s="11"/>
      <c r="J308" s="11"/>
    </row>
    <row r="309">
      <c r="B309" s="11"/>
      <c r="J309" s="11"/>
    </row>
    <row r="310">
      <c r="B310" s="11"/>
      <c r="J310" s="11"/>
    </row>
    <row r="311">
      <c r="B311" s="11"/>
      <c r="J311" s="11"/>
    </row>
    <row r="312">
      <c r="B312" s="11"/>
      <c r="J312" s="11"/>
    </row>
    <row r="313">
      <c r="B313" s="11"/>
      <c r="J313" s="11"/>
    </row>
    <row r="314">
      <c r="B314" s="11"/>
      <c r="J314" s="11"/>
    </row>
    <row r="315">
      <c r="B315" s="11"/>
      <c r="J315" s="11"/>
    </row>
    <row r="316">
      <c r="B316" s="11"/>
      <c r="J316" s="11"/>
    </row>
    <row r="317">
      <c r="B317" s="11"/>
      <c r="J317" s="11"/>
    </row>
    <row r="318">
      <c r="B318" s="11"/>
      <c r="J318" s="11"/>
    </row>
    <row r="319">
      <c r="B319" s="11"/>
      <c r="J319" s="11"/>
    </row>
    <row r="320">
      <c r="B320" s="11"/>
      <c r="J320" s="11"/>
    </row>
    <row r="321">
      <c r="B321" s="11"/>
      <c r="J321" s="11"/>
    </row>
    <row r="322">
      <c r="B322" s="11"/>
      <c r="J322" s="11"/>
    </row>
    <row r="323">
      <c r="B323" s="11"/>
      <c r="J323" s="11"/>
    </row>
    <row r="324">
      <c r="B324" s="11"/>
      <c r="J324" s="11"/>
    </row>
    <row r="325">
      <c r="B325" s="11"/>
      <c r="J325" s="11"/>
    </row>
    <row r="326">
      <c r="B326" s="11"/>
      <c r="J326" s="11"/>
    </row>
    <row r="327">
      <c r="B327" s="11"/>
      <c r="J327" s="11"/>
    </row>
    <row r="328">
      <c r="B328" s="11"/>
      <c r="J328" s="11"/>
    </row>
    <row r="329">
      <c r="B329" s="11"/>
      <c r="J329" s="11"/>
    </row>
    <row r="330">
      <c r="B330" s="11"/>
      <c r="J330" s="11"/>
    </row>
    <row r="331">
      <c r="B331" s="11"/>
      <c r="J331" s="11"/>
    </row>
    <row r="332">
      <c r="B332" s="11"/>
      <c r="J332" s="11"/>
    </row>
    <row r="333">
      <c r="B333" s="11"/>
      <c r="J333" s="11"/>
    </row>
    <row r="334">
      <c r="B334" s="11"/>
      <c r="J334" s="11"/>
    </row>
    <row r="335">
      <c r="B335" s="11"/>
      <c r="J335" s="11"/>
    </row>
    <row r="336">
      <c r="B336" s="11"/>
      <c r="J336" s="11"/>
    </row>
    <row r="337">
      <c r="B337" s="11"/>
      <c r="J337" s="11"/>
    </row>
    <row r="338">
      <c r="B338" s="11"/>
      <c r="J338" s="11"/>
    </row>
    <row r="339">
      <c r="B339" s="11"/>
      <c r="J339" s="11"/>
    </row>
    <row r="340">
      <c r="B340" s="11"/>
      <c r="J340" s="11"/>
    </row>
    <row r="341">
      <c r="B341" s="11"/>
      <c r="J341" s="11"/>
    </row>
    <row r="342">
      <c r="B342" s="11"/>
      <c r="J342" s="11"/>
    </row>
    <row r="343">
      <c r="B343" s="11"/>
      <c r="J343" s="11"/>
    </row>
    <row r="344">
      <c r="B344" s="11"/>
      <c r="J344" s="11"/>
    </row>
    <row r="345">
      <c r="B345" s="11"/>
      <c r="J345" s="11"/>
    </row>
    <row r="346">
      <c r="B346" s="11"/>
      <c r="J346" s="11"/>
    </row>
    <row r="347">
      <c r="B347" s="11"/>
      <c r="J347" s="11"/>
    </row>
    <row r="348">
      <c r="B348" s="11"/>
      <c r="J348" s="11"/>
    </row>
    <row r="349">
      <c r="B349" s="11"/>
      <c r="J349" s="11"/>
    </row>
    <row r="350">
      <c r="B350" s="11"/>
      <c r="J350" s="11"/>
    </row>
    <row r="351">
      <c r="B351" s="11"/>
      <c r="J351" s="11"/>
    </row>
    <row r="352">
      <c r="B352" s="11"/>
      <c r="J352" s="11"/>
    </row>
    <row r="353">
      <c r="B353" s="11"/>
      <c r="J353" s="11"/>
    </row>
    <row r="354">
      <c r="B354" s="11"/>
      <c r="J354" s="11"/>
    </row>
    <row r="355">
      <c r="B355" s="11"/>
      <c r="J355" s="11"/>
    </row>
    <row r="356">
      <c r="B356" s="11"/>
      <c r="J356" s="11"/>
    </row>
    <row r="357">
      <c r="B357" s="11"/>
      <c r="J357" s="11"/>
    </row>
    <row r="358">
      <c r="B358" s="11"/>
      <c r="J358" s="11"/>
    </row>
    <row r="359">
      <c r="B359" s="11"/>
      <c r="J359" s="11"/>
    </row>
    <row r="360">
      <c r="B360" s="11"/>
      <c r="J360" s="11"/>
    </row>
    <row r="361">
      <c r="B361" s="11"/>
      <c r="J361" s="11"/>
    </row>
    <row r="362">
      <c r="B362" s="11"/>
      <c r="J362" s="11"/>
    </row>
    <row r="363">
      <c r="B363" s="11"/>
      <c r="J363" s="11"/>
    </row>
    <row r="364">
      <c r="B364" s="11"/>
      <c r="J364" s="11"/>
    </row>
    <row r="365">
      <c r="B365" s="11"/>
      <c r="J365" s="11"/>
    </row>
    <row r="366">
      <c r="B366" s="11"/>
      <c r="J366" s="11"/>
    </row>
    <row r="367">
      <c r="B367" s="11"/>
      <c r="J367" s="11"/>
    </row>
    <row r="368">
      <c r="B368" s="11"/>
      <c r="J368" s="11"/>
    </row>
    <row r="369">
      <c r="B369" s="11"/>
      <c r="J369" s="11"/>
    </row>
    <row r="370">
      <c r="B370" s="11"/>
      <c r="J370" s="11"/>
    </row>
    <row r="371">
      <c r="B371" s="11"/>
      <c r="J371" s="11"/>
    </row>
    <row r="372">
      <c r="B372" s="11"/>
      <c r="J372" s="11"/>
    </row>
    <row r="373">
      <c r="B373" s="11"/>
      <c r="J373" s="11"/>
    </row>
    <row r="374">
      <c r="B374" s="11"/>
      <c r="J374" s="11"/>
    </row>
    <row r="375">
      <c r="B375" s="11"/>
      <c r="J375" s="11"/>
    </row>
    <row r="376">
      <c r="B376" s="11"/>
      <c r="J376" s="11"/>
    </row>
    <row r="377">
      <c r="B377" s="11"/>
      <c r="J377" s="11"/>
    </row>
    <row r="378">
      <c r="B378" s="11"/>
      <c r="J378" s="11"/>
    </row>
    <row r="379">
      <c r="B379" s="11"/>
      <c r="J379" s="11"/>
    </row>
    <row r="380">
      <c r="B380" s="11"/>
      <c r="J380" s="11"/>
    </row>
    <row r="381">
      <c r="B381" s="11"/>
      <c r="J381" s="11"/>
    </row>
    <row r="382">
      <c r="B382" s="11"/>
      <c r="J382" s="11"/>
    </row>
    <row r="383">
      <c r="B383" s="11"/>
      <c r="J383" s="11"/>
    </row>
    <row r="384">
      <c r="B384" s="11"/>
      <c r="J384" s="11"/>
    </row>
    <row r="385">
      <c r="B385" s="11"/>
      <c r="J385" s="11"/>
    </row>
    <row r="386">
      <c r="B386" s="11"/>
      <c r="J386" s="11"/>
    </row>
    <row r="387">
      <c r="B387" s="11"/>
      <c r="J387" s="11"/>
    </row>
    <row r="388">
      <c r="B388" s="11"/>
      <c r="J388" s="11"/>
    </row>
    <row r="389">
      <c r="B389" s="11"/>
      <c r="J389" s="11"/>
    </row>
    <row r="390">
      <c r="B390" s="11"/>
      <c r="J390" s="11"/>
    </row>
    <row r="391">
      <c r="B391" s="11"/>
      <c r="J391" s="11"/>
    </row>
    <row r="392">
      <c r="B392" s="11"/>
      <c r="J392" s="11"/>
    </row>
    <row r="393">
      <c r="B393" s="11"/>
      <c r="J393" s="11"/>
    </row>
    <row r="394">
      <c r="B394" s="11"/>
      <c r="J394" s="11"/>
    </row>
    <row r="395">
      <c r="B395" s="11"/>
      <c r="J395" s="11"/>
    </row>
    <row r="396">
      <c r="B396" s="11"/>
      <c r="J396" s="11"/>
    </row>
    <row r="397">
      <c r="B397" s="11"/>
      <c r="J397" s="11"/>
    </row>
    <row r="398">
      <c r="B398" s="11"/>
      <c r="J398" s="11"/>
    </row>
    <row r="399">
      <c r="B399" s="11"/>
      <c r="J399" s="11"/>
    </row>
    <row r="400">
      <c r="B400" s="11"/>
      <c r="J400" s="11"/>
    </row>
    <row r="401">
      <c r="B401" s="11"/>
      <c r="J401" s="11"/>
    </row>
    <row r="402">
      <c r="B402" s="11"/>
      <c r="J402" s="11"/>
    </row>
    <row r="403">
      <c r="B403" s="11"/>
      <c r="J403" s="11"/>
    </row>
    <row r="404">
      <c r="B404" s="11"/>
      <c r="J404" s="11"/>
    </row>
    <row r="405">
      <c r="B405" s="11"/>
      <c r="J405" s="11"/>
    </row>
    <row r="406">
      <c r="B406" s="11"/>
      <c r="J406" s="11"/>
    </row>
    <row r="407">
      <c r="B407" s="11"/>
      <c r="J407" s="11"/>
    </row>
    <row r="408">
      <c r="B408" s="11"/>
      <c r="J408" s="11"/>
    </row>
    <row r="409">
      <c r="B409" s="11"/>
      <c r="J409" s="11"/>
    </row>
    <row r="410">
      <c r="B410" s="11"/>
      <c r="J410" s="11"/>
    </row>
    <row r="411">
      <c r="B411" s="11"/>
      <c r="J411" s="11"/>
    </row>
    <row r="412">
      <c r="B412" s="11"/>
      <c r="J412" s="11"/>
    </row>
    <row r="413">
      <c r="B413" s="11"/>
      <c r="J413" s="11"/>
    </row>
    <row r="414">
      <c r="B414" s="11"/>
      <c r="J414" s="11"/>
    </row>
    <row r="415">
      <c r="B415" s="11"/>
      <c r="J415" s="11"/>
    </row>
    <row r="416">
      <c r="B416" s="11"/>
      <c r="J416" s="11"/>
    </row>
    <row r="417">
      <c r="B417" s="11"/>
      <c r="J417" s="11"/>
    </row>
    <row r="418">
      <c r="B418" s="11"/>
      <c r="J418" s="11"/>
    </row>
    <row r="419">
      <c r="B419" s="11"/>
      <c r="J419" s="11"/>
    </row>
    <row r="420">
      <c r="B420" s="11"/>
      <c r="J420" s="11"/>
    </row>
    <row r="421">
      <c r="B421" s="11"/>
      <c r="J421" s="11"/>
    </row>
    <row r="422">
      <c r="B422" s="11"/>
      <c r="J422" s="11"/>
    </row>
    <row r="423">
      <c r="B423" s="11"/>
      <c r="J423" s="11"/>
    </row>
    <row r="424">
      <c r="B424" s="11"/>
      <c r="J424" s="11"/>
    </row>
    <row r="425">
      <c r="B425" s="11"/>
      <c r="J425" s="11"/>
    </row>
    <row r="426">
      <c r="B426" s="11"/>
      <c r="J426" s="11"/>
    </row>
    <row r="427">
      <c r="B427" s="11"/>
      <c r="J427" s="11"/>
    </row>
    <row r="428">
      <c r="B428" s="11"/>
      <c r="J428" s="11"/>
    </row>
    <row r="429">
      <c r="B429" s="11"/>
      <c r="J429" s="11"/>
    </row>
    <row r="430">
      <c r="B430" s="11"/>
      <c r="J430" s="11"/>
    </row>
    <row r="431">
      <c r="B431" s="11"/>
      <c r="J431" s="11"/>
    </row>
    <row r="432">
      <c r="B432" s="11"/>
      <c r="J432" s="11"/>
    </row>
    <row r="433">
      <c r="B433" s="11"/>
      <c r="J433" s="11"/>
    </row>
    <row r="434">
      <c r="B434" s="11"/>
      <c r="J434" s="11"/>
    </row>
    <row r="435">
      <c r="B435" s="11"/>
      <c r="J435" s="11"/>
    </row>
    <row r="436">
      <c r="B436" s="11"/>
      <c r="J436" s="11"/>
    </row>
    <row r="437">
      <c r="B437" s="11"/>
      <c r="J437" s="11"/>
    </row>
    <row r="438">
      <c r="B438" s="11"/>
      <c r="J438" s="11"/>
    </row>
    <row r="439">
      <c r="B439" s="11"/>
      <c r="J439" s="11"/>
    </row>
    <row r="440">
      <c r="B440" s="11"/>
      <c r="J440" s="11"/>
    </row>
    <row r="441">
      <c r="B441" s="11"/>
      <c r="J441" s="11"/>
    </row>
    <row r="442">
      <c r="B442" s="11"/>
      <c r="J442" s="11"/>
    </row>
    <row r="443">
      <c r="B443" s="11"/>
      <c r="J443" s="11"/>
    </row>
    <row r="444">
      <c r="B444" s="11"/>
      <c r="J444" s="11"/>
    </row>
    <row r="445">
      <c r="B445" s="11"/>
      <c r="J445" s="11"/>
    </row>
    <row r="446">
      <c r="B446" s="11"/>
      <c r="J446" s="11"/>
    </row>
    <row r="447">
      <c r="B447" s="11"/>
      <c r="J447" s="11"/>
    </row>
    <row r="448">
      <c r="B448" s="11"/>
      <c r="J448" s="11"/>
    </row>
    <row r="449">
      <c r="B449" s="11"/>
      <c r="J449" s="11"/>
    </row>
    <row r="450">
      <c r="B450" s="11"/>
      <c r="J450" s="11"/>
    </row>
    <row r="451">
      <c r="B451" s="11"/>
      <c r="J451" s="11"/>
    </row>
    <row r="452">
      <c r="B452" s="11"/>
      <c r="J452" s="11"/>
    </row>
    <row r="453">
      <c r="B453" s="11"/>
      <c r="J453" s="11"/>
    </row>
    <row r="454">
      <c r="B454" s="11"/>
      <c r="J454" s="11"/>
    </row>
    <row r="455">
      <c r="B455" s="11"/>
      <c r="J455" s="11"/>
    </row>
    <row r="456">
      <c r="B456" s="11"/>
      <c r="J456" s="11"/>
    </row>
    <row r="457">
      <c r="B457" s="11"/>
      <c r="J457" s="11"/>
    </row>
    <row r="458">
      <c r="B458" s="11"/>
      <c r="J458" s="11"/>
    </row>
    <row r="459">
      <c r="B459" s="11"/>
      <c r="J459" s="11"/>
    </row>
    <row r="460">
      <c r="B460" s="11"/>
      <c r="J460" s="11"/>
    </row>
    <row r="461">
      <c r="B461" s="11"/>
      <c r="J461" s="11"/>
    </row>
    <row r="462">
      <c r="B462" s="11"/>
      <c r="J462" s="11"/>
    </row>
    <row r="463">
      <c r="B463" s="11"/>
      <c r="J463" s="11"/>
    </row>
    <row r="464">
      <c r="B464" s="11"/>
      <c r="J464" s="11"/>
    </row>
    <row r="465">
      <c r="B465" s="11"/>
      <c r="J465" s="11"/>
    </row>
    <row r="466">
      <c r="B466" s="11"/>
      <c r="J466" s="11"/>
    </row>
    <row r="467">
      <c r="B467" s="11"/>
      <c r="J467" s="11"/>
    </row>
    <row r="468">
      <c r="B468" s="11"/>
      <c r="J468" s="11"/>
    </row>
    <row r="469">
      <c r="B469" s="11"/>
      <c r="J469" s="11"/>
    </row>
    <row r="470">
      <c r="B470" s="11"/>
      <c r="J470" s="11"/>
    </row>
    <row r="471">
      <c r="B471" s="11"/>
      <c r="J471" s="11"/>
    </row>
    <row r="472">
      <c r="B472" s="11"/>
      <c r="J472" s="11"/>
    </row>
    <row r="473">
      <c r="B473" s="11"/>
      <c r="J473" s="11"/>
    </row>
    <row r="474">
      <c r="B474" s="11"/>
      <c r="J474" s="11"/>
    </row>
    <row r="475">
      <c r="B475" s="11"/>
      <c r="J475" s="11"/>
    </row>
    <row r="476">
      <c r="B476" s="11"/>
      <c r="J476" s="11"/>
    </row>
    <row r="477">
      <c r="B477" s="11"/>
      <c r="J477" s="11"/>
    </row>
    <row r="478">
      <c r="B478" s="11"/>
      <c r="J478" s="11"/>
    </row>
    <row r="479">
      <c r="B479" s="11"/>
      <c r="J479" s="11"/>
    </row>
    <row r="480">
      <c r="B480" s="11"/>
      <c r="J480" s="11"/>
    </row>
    <row r="481">
      <c r="B481" s="11"/>
      <c r="J481" s="11"/>
    </row>
    <row r="482">
      <c r="B482" s="11"/>
      <c r="J482" s="11"/>
    </row>
    <row r="483">
      <c r="B483" s="11"/>
      <c r="J483" s="11"/>
    </row>
    <row r="484">
      <c r="B484" s="11"/>
      <c r="J484" s="11"/>
    </row>
    <row r="485">
      <c r="B485" s="11"/>
      <c r="J485" s="11"/>
    </row>
    <row r="486">
      <c r="B486" s="11"/>
      <c r="J486" s="11"/>
    </row>
    <row r="487">
      <c r="B487" s="11"/>
      <c r="J487" s="11"/>
    </row>
    <row r="488">
      <c r="B488" s="11"/>
      <c r="J488" s="11"/>
    </row>
    <row r="489">
      <c r="B489" s="11"/>
      <c r="J489" s="11"/>
    </row>
    <row r="490">
      <c r="B490" s="11"/>
      <c r="J490" s="11"/>
    </row>
    <row r="491">
      <c r="B491" s="11"/>
      <c r="J491" s="11"/>
    </row>
    <row r="492">
      <c r="B492" s="11"/>
      <c r="J492" s="11"/>
    </row>
    <row r="493">
      <c r="B493" s="11"/>
      <c r="J493" s="11"/>
    </row>
    <row r="494">
      <c r="B494" s="11"/>
      <c r="J494" s="11"/>
    </row>
    <row r="495">
      <c r="B495" s="11"/>
      <c r="J495" s="11"/>
    </row>
    <row r="496">
      <c r="B496" s="11"/>
      <c r="J496" s="11"/>
    </row>
    <row r="497">
      <c r="B497" s="11"/>
      <c r="J497" s="11"/>
    </row>
    <row r="498">
      <c r="B498" s="11"/>
      <c r="J498" s="11"/>
    </row>
    <row r="499">
      <c r="B499" s="11"/>
      <c r="J499" s="11"/>
    </row>
    <row r="500">
      <c r="B500" s="11"/>
      <c r="J500" s="11"/>
    </row>
    <row r="501">
      <c r="B501" s="11"/>
      <c r="J501" s="11"/>
    </row>
    <row r="502">
      <c r="B502" s="11"/>
      <c r="J502" s="11"/>
    </row>
    <row r="503">
      <c r="B503" s="11"/>
      <c r="J503" s="11"/>
    </row>
    <row r="504">
      <c r="B504" s="11"/>
      <c r="J504" s="11"/>
    </row>
    <row r="505">
      <c r="B505" s="11"/>
      <c r="J505" s="11"/>
    </row>
    <row r="506">
      <c r="B506" s="11"/>
      <c r="J506" s="11"/>
    </row>
    <row r="507">
      <c r="B507" s="11"/>
      <c r="J507" s="11"/>
    </row>
    <row r="508">
      <c r="B508" s="11"/>
      <c r="J508" s="11"/>
    </row>
    <row r="509">
      <c r="B509" s="11"/>
      <c r="J509" s="11"/>
    </row>
    <row r="510">
      <c r="B510" s="11"/>
      <c r="J510" s="11"/>
    </row>
    <row r="511">
      <c r="B511" s="11"/>
      <c r="J511" s="11"/>
    </row>
    <row r="512">
      <c r="B512" s="11"/>
      <c r="J512" s="11"/>
    </row>
    <row r="513">
      <c r="B513" s="11"/>
      <c r="J513" s="11"/>
    </row>
    <row r="514">
      <c r="B514" s="11"/>
      <c r="J514" s="11"/>
    </row>
    <row r="515">
      <c r="B515" s="11"/>
      <c r="J515" s="11"/>
    </row>
    <row r="516">
      <c r="B516" s="11"/>
      <c r="J516" s="11"/>
    </row>
    <row r="517">
      <c r="B517" s="11"/>
      <c r="J517" s="11"/>
    </row>
    <row r="518">
      <c r="B518" s="11"/>
      <c r="J518" s="11"/>
    </row>
    <row r="519">
      <c r="B519" s="11"/>
      <c r="J519" s="11"/>
    </row>
    <row r="520">
      <c r="B520" s="11"/>
      <c r="J520" s="11"/>
    </row>
    <row r="521">
      <c r="B521" s="11"/>
      <c r="J521" s="11"/>
    </row>
    <row r="522">
      <c r="B522" s="11"/>
      <c r="J522" s="11"/>
    </row>
    <row r="523">
      <c r="B523" s="11"/>
      <c r="J523" s="11"/>
    </row>
    <row r="524">
      <c r="B524" s="11"/>
      <c r="J524" s="11"/>
    </row>
    <row r="525">
      <c r="B525" s="11"/>
      <c r="J525" s="11"/>
    </row>
    <row r="526">
      <c r="B526" s="11"/>
      <c r="J526" s="11"/>
    </row>
    <row r="527">
      <c r="B527" s="11"/>
      <c r="J527" s="11"/>
    </row>
    <row r="528">
      <c r="B528" s="11"/>
      <c r="J528" s="11"/>
    </row>
    <row r="529">
      <c r="B529" s="11"/>
      <c r="J529" s="11"/>
    </row>
    <row r="530">
      <c r="B530" s="11"/>
      <c r="J530" s="11"/>
    </row>
    <row r="531">
      <c r="B531" s="11"/>
      <c r="J531" s="11"/>
    </row>
    <row r="532">
      <c r="B532" s="11"/>
      <c r="J532" s="11"/>
    </row>
    <row r="533">
      <c r="B533" s="11"/>
      <c r="J533" s="11"/>
    </row>
    <row r="534">
      <c r="B534" s="11"/>
      <c r="J534" s="11"/>
    </row>
    <row r="535">
      <c r="B535" s="11"/>
      <c r="J535" s="11"/>
    </row>
    <row r="536">
      <c r="B536" s="11"/>
      <c r="J536" s="11"/>
    </row>
    <row r="537">
      <c r="B537" s="11"/>
      <c r="J537" s="11"/>
    </row>
    <row r="538">
      <c r="B538" s="11"/>
      <c r="J538" s="11"/>
    </row>
    <row r="539">
      <c r="B539" s="11"/>
      <c r="J539" s="11"/>
    </row>
    <row r="540">
      <c r="B540" s="11"/>
      <c r="J540" s="11"/>
    </row>
    <row r="541">
      <c r="B541" s="11"/>
      <c r="J541" s="11"/>
    </row>
    <row r="542">
      <c r="B542" s="11"/>
      <c r="J542" s="11"/>
    </row>
    <row r="543">
      <c r="B543" s="11"/>
      <c r="J543" s="11"/>
    </row>
    <row r="544">
      <c r="B544" s="11"/>
      <c r="J544" s="11"/>
    </row>
    <row r="545">
      <c r="B545" s="11"/>
      <c r="J545" s="11"/>
    </row>
    <row r="546">
      <c r="B546" s="11"/>
      <c r="J546" s="11"/>
    </row>
    <row r="547">
      <c r="B547" s="11"/>
      <c r="J547" s="11"/>
    </row>
    <row r="548">
      <c r="B548" s="11"/>
      <c r="J548" s="11"/>
    </row>
    <row r="549">
      <c r="B549" s="11"/>
      <c r="J549" s="11"/>
    </row>
    <row r="550">
      <c r="B550" s="11"/>
      <c r="J550" s="11"/>
    </row>
    <row r="551">
      <c r="B551" s="11"/>
      <c r="J551" s="11"/>
    </row>
    <row r="552">
      <c r="B552" s="11"/>
      <c r="J552" s="11"/>
    </row>
    <row r="553">
      <c r="B553" s="11"/>
      <c r="J553" s="11"/>
    </row>
    <row r="554">
      <c r="B554" s="11"/>
      <c r="J554" s="11"/>
    </row>
    <row r="555">
      <c r="B555" s="11"/>
      <c r="J555" s="11"/>
    </row>
    <row r="556">
      <c r="B556" s="11"/>
      <c r="J556" s="11"/>
    </row>
    <row r="557">
      <c r="B557" s="11"/>
      <c r="J557" s="11"/>
    </row>
    <row r="558">
      <c r="B558" s="11"/>
      <c r="J558" s="11"/>
    </row>
    <row r="559">
      <c r="B559" s="11"/>
      <c r="J559" s="11"/>
    </row>
    <row r="560">
      <c r="B560" s="11"/>
      <c r="J560" s="11"/>
    </row>
    <row r="561">
      <c r="B561" s="11"/>
      <c r="J561" s="11"/>
    </row>
    <row r="562">
      <c r="B562" s="11"/>
      <c r="J562" s="11"/>
    </row>
    <row r="563">
      <c r="B563" s="11"/>
      <c r="J563" s="11"/>
    </row>
    <row r="564">
      <c r="B564" s="11"/>
      <c r="J564" s="11"/>
    </row>
    <row r="565">
      <c r="B565" s="11"/>
      <c r="J565" s="11"/>
    </row>
    <row r="566">
      <c r="B566" s="11"/>
      <c r="J566" s="11"/>
    </row>
    <row r="567">
      <c r="B567" s="11"/>
      <c r="J567" s="11"/>
    </row>
    <row r="568">
      <c r="B568" s="11"/>
      <c r="J568" s="11"/>
    </row>
    <row r="569">
      <c r="B569" s="11"/>
      <c r="J569" s="11"/>
    </row>
    <row r="570">
      <c r="B570" s="11"/>
      <c r="J570" s="11"/>
    </row>
    <row r="571">
      <c r="B571" s="11"/>
      <c r="J571" s="11"/>
    </row>
    <row r="572">
      <c r="B572" s="11"/>
      <c r="J572" s="11"/>
    </row>
    <row r="573">
      <c r="B573" s="11"/>
      <c r="J573" s="11"/>
    </row>
    <row r="574">
      <c r="B574" s="11"/>
      <c r="J574" s="11"/>
    </row>
    <row r="575">
      <c r="B575" s="11"/>
      <c r="J575" s="11"/>
    </row>
    <row r="576">
      <c r="B576" s="11"/>
      <c r="J576" s="11"/>
    </row>
    <row r="577">
      <c r="B577" s="11"/>
      <c r="J577" s="11"/>
    </row>
    <row r="578">
      <c r="B578" s="11"/>
      <c r="J578" s="11"/>
    </row>
    <row r="579">
      <c r="B579" s="11"/>
      <c r="J579" s="11"/>
    </row>
    <row r="580">
      <c r="B580" s="11"/>
      <c r="J580" s="11"/>
    </row>
    <row r="581">
      <c r="B581" s="11"/>
      <c r="J581" s="11"/>
    </row>
    <row r="582">
      <c r="B582" s="11"/>
      <c r="J582" s="11"/>
    </row>
    <row r="583">
      <c r="B583" s="11"/>
      <c r="J583" s="11"/>
    </row>
    <row r="584">
      <c r="B584" s="11"/>
      <c r="J584" s="11"/>
    </row>
    <row r="585">
      <c r="B585" s="11"/>
      <c r="J585" s="11"/>
    </row>
    <row r="586">
      <c r="B586" s="11"/>
      <c r="J586" s="11"/>
    </row>
    <row r="587">
      <c r="B587" s="11"/>
      <c r="J587" s="11"/>
    </row>
    <row r="588">
      <c r="B588" s="11"/>
      <c r="J588" s="11"/>
    </row>
    <row r="589">
      <c r="B589" s="11"/>
      <c r="J589" s="11"/>
    </row>
    <row r="590">
      <c r="B590" s="11"/>
      <c r="J590" s="11"/>
    </row>
    <row r="591">
      <c r="B591" s="11"/>
      <c r="J591" s="11"/>
    </row>
    <row r="592">
      <c r="B592" s="11"/>
      <c r="J592" s="11"/>
    </row>
    <row r="593">
      <c r="B593" s="11"/>
      <c r="J593" s="11"/>
    </row>
    <row r="594">
      <c r="B594" s="11"/>
      <c r="J594" s="11"/>
    </row>
    <row r="595">
      <c r="B595" s="11"/>
      <c r="J595" s="11"/>
    </row>
    <row r="596">
      <c r="B596" s="11"/>
      <c r="J596" s="11"/>
    </row>
    <row r="597">
      <c r="B597" s="11"/>
      <c r="J597" s="11"/>
    </row>
    <row r="598">
      <c r="B598" s="11"/>
      <c r="J598" s="11"/>
    </row>
    <row r="599">
      <c r="B599" s="11"/>
      <c r="J599" s="11"/>
    </row>
    <row r="600">
      <c r="B600" s="11"/>
      <c r="J600" s="11"/>
    </row>
    <row r="601">
      <c r="B601" s="11"/>
      <c r="J601" s="11"/>
    </row>
    <row r="602">
      <c r="B602" s="11"/>
      <c r="J602" s="11"/>
    </row>
    <row r="603">
      <c r="B603" s="11"/>
      <c r="J603" s="11"/>
    </row>
    <row r="604">
      <c r="B604" s="11"/>
      <c r="J604" s="11"/>
    </row>
    <row r="605">
      <c r="B605" s="11"/>
      <c r="J605" s="11"/>
    </row>
    <row r="606">
      <c r="B606" s="11"/>
      <c r="J606" s="11"/>
    </row>
    <row r="607">
      <c r="B607" s="11"/>
      <c r="J607" s="11"/>
    </row>
    <row r="608">
      <c r="B608" s="11"/>
      <c r="J608" s="11"/>
    </row>
    <row r="609">
      <c r="B609" s="11"/>
      <c r="J609" s="11"/>
    </row>
    <row r="610">
      <c r="B610" s="11"/>
      <c r="J610" s="11"/>
    </row>
    <row r="611">
      <c r="B611" s="11"/>
      <c r="J611" s="11"/>
    </row>
    <row r="612">
      <c r="B612" s="11"/>
      <c r="J612" s="11"/>
    </row>
    <row r="613">
      <c r="B613" s="11"/>
      <c r="J613" s="11"/>
    </row>
    <row r="614">
      <c r="B614" s="11"/>
      <c r="J614" s="11"/>
    </row>
    <row r="615">
      <c r="B615" s="11"/>
      <c r="J615" s="11"/>
    </row>
    <row r="616">
      <c r="B616" s="11"/>
      <c r="J616" s="11"/>
    </row>
    <row r="617">
      <c r="B617" s="11"/>
      <c r="J617" s="11"/>
    </row>
    <row r="618">
      <c r="B618" s="11"/>
      <c r="J618" s="11"/>
    </row>
    <row r="619">
      <c r="B619" s="11"/>
      <c r="J619" s="11"/>
    </row>
    <row r="620">
      <c r="B620" s="11"/>
      <c r="J620" s="11"/>
    </row>
    <row r="621">
      <c r="B621" s="11"/>
      <c r="J621" s="11"/>
    </row>
    <row r="622">
      <c r="B622" s="11"/>
      <c r="J622" s="11"/>
    </row>
    <row r="623">
      <c r="B623" s="11"/>
      <c r="J623" s="11"/>
    </row>
    <row r="624">
      <c r="B624" s="11"/>
      <c r="J624" s="11"/>
    </row>
    <row r="625">
      <c r="B625" s="11"/>
      <c r="J625" s="11"/>
    </row>
    <row r="626">
      <c r="B626" s="11"/>
      <c r="J626" s="11"/>
    </row>
    <row r="627">
      <c r="B627" s="11"/>
      <c r="J627" s="11"/>
    </row>
    <row r="628">
      <c r="B628" s="11"/>
      <c r="J628" s="11"/>
    </row>
    <row r="629">
      <c r="B629" s="11"/>
      <c r="J629" s="11"/>
    </row>
    <row r="630">
      <c r="B630" s="11"/>
      <c r="J630" s="11"/>
    </row>
    <row r="631">
      <c r="B631" s="11"/>
      <c r="J631" s="11"/>
    </row>
    <row r="632">
      <c r="B632" s="11"/>
      <c r="J632" s="11"/>
    </row>
    <row r="633">
      <c r="B633" s="11"/>
      <c r="J633" s="11"/>
    </row>
    <row r="634">
      <c r="B634" s="11"/>
      <c r="J634" s="11"/>
    </row>
    <row r="635">
      <c r="B635" s="11"/>
      <c r="J635" s="11"/>
    </row>
    <row r="636">
      <c r="B636" s="11"/>
      <c r="J636" s="11"/>
    </row>
    <row r="637">
      <c r="B637" s="11"/>
      <c r="J637" s="11"/>
    </row>
    <row r="638">
      <c r="B638" s="11"/>
      <c r="J638" s="11"/>
    </row>
    <row r="639">
      <c r="B639" s="11"/>
      <c r="J639" s="11"/>
    </row>
    <row r="640">
      <c r="B640" s="11"/>
      <c r="J640" s="11"/>
    </row>
    <row r="641">
      <c r="B641" s="11"/>
      <c r="J641" s="11"/>
    </row>
    <row r="642">
      <c r="B642" s="11"/>
      <c r="J642" s="11"/>
    </row>
    <row r="643">
      <c r="B643" s="11"/>
      <c r="J643" s="11"/>
    </row>
    <row r="644">
      <c r="B644" s="11"/>
      <c r="J644" s="11"/>
    </row>
    <row r="645">
      <c r="B645" s="11"/>
      <c r="J645" s="11"/>
    </row>
    <row r="646">
      <c r="B646" s="11"/>
      <c r="J646" s="11"/>
    </row>
    <row r="647">
      <c r="B647" s="11"/>
      <c r="J647" s="11"/>
    </row>
    <row r="648">
      <c r="B648" s="11"/>
      <c r="J648" s="11"/>
    </row>
    <row r="649">
      <c r="B649" s="11"/>
      <c r="J649" s="11"/>
    </row>
    <row r="650">
      <c r="B650" s="11"/>
      <c r="J650" s="11"/>
    </row>
    <row r="651">
      <c r="B651" s="11"/>
      <c r="J651" s="11"/>
    </row>
    <row r="652">
      <c r="B652" s="11"/>
      <c r="J652" s="11"/>
    </row>
    <row r="653">
      <c r="B653" s="11"/>
      <c r="J653" s="11"/>
    </row>
    <row r="654">
      <c r="B654" s="11"/>
      <c r="J654" s="11"/>
    </row>
    <row r="655">
      <c r="B655" s="11"/>
      <c r="J655" s="11"/>
    </row>
    <row r="656">
      <c r="B656" s="11"/>
      <c r="J656" s="11"/>
    </row>
    <row r="657">
      <c r="B657" s="11"/>
      <c r="J657" s="11"/>
    </row>
    <row r="658">
      <c r="B658" s="11"/>
      <c r="J658" s="11"/>
    </row>
    <row r="659">
      <c r="B659" s="11"/>
      <c r="J659" s="11"/>
    </row>
    <row r="660">
      <c r="B660" s="11"/>
      <c r="J660" s="11"/>
    </row>
    <row r="661">
      <c r="B661" s="11"/>
      <c r="J661" s="11"/>
    </row>
    <row r="662">
      <c r="B662" s="11"/>
      <c r="J662" s="11"/>
    </row>
    <row r="663">
      <c r="B663" s="11"/>
      <c r="J663" s="11"/>
    </row>
    <row r="664">
      <c r="B664" s="11"/>
      <c r="J664" s="11"/>
    </row>
    <row r="665">
      <c r="B665" s="11"/>
      <c r="J665" s="11"/>
    </row>
    <row r="666">
      <c r="B666" s="11"/>
      <c r="J666" s="11"/>
    </row>
    <row r="667">
      <c r="B667" s="11"/>
      <c r="J667" s="11"/>
    </row>
    <row r="668">
      <c r="B668" s="11"/>
      <c r="J668" s="11"/>
    </row>
    <row r="669">
      <c r="B669" s="11"/>
      <c r="J669" s="11"/>
    </row>
    <row r="670">
      <c r="B670" s="11"/>
      <c r="J670" s="11"/>
    </row>
    <row r="671">
      <c r="B671" s="11"/>
      <c r="J671" s="11"/>
    </row>
    <row r="672">
      <c r="B672" s="11"/>
      <c r="J672" s="11"/>
    </row>
    <row r="673">
      <c r="B673" s="11"/>
      <c r="J673" s="11"/>
    </row>
    <row r="674">
      <c r="B674" s="11"/>
      <c r="J674" s="11"/>
    </row>
    <row r="675">
      <c r="B675" s="11"/>
      <c r="J675" s="11"/>
    </row>
    <row r="676">
      <c r="B676" s="11"/>
      <c r="J676" s="11"/>
    </row>
    <row r="677">
      <c r="B677" s="11"/>
      <c r="J677" s="11"/>
    </row>
    <row r="678">
      <c r="B678" s="11"/>
      <c r="J678" s="11"/>
    </row>
    <row r="679">
      <c r="B679" s="11"/>
      <c r="J679" s="11"/>
    </row>
    <row r="680">
      <c r="B680" s="11"/>
      <c r="J680" s="11"/>
    </row>
    <row r="681">
      <c r="B681" s="11"/>
      <c r="J681" s="11"/>
    </row>
    <row r="682">
      <c r="B682" s="11"/>
      <c r="J682" s="11"/>
    </row>
    <row r="683">
      <c r="B683" s="11"/>
      <c r="J683" s="11"/>
    </row>
    <row r="684">
      <c r="B684" s="11"/>
      <c r="J684" s="11"/>
    </row>
    <row r="685">
      <c r="B685" s="11"/>
      <c r="J685" s="11"/>
    </row>
    <row r="686">
      <c r="B686" s="11"/>
      <c r="J686" s="11"/>
    </row>
    <row r="687">
      <c r="B687" s="11"/>
      <c r="J687" s="11"/>
    </row>
    <row r="688">
      <c r="B688" s="11"/>
      <c r="J688" s="11"/>
    </row>
    <row r="689">
      <c r="B689" s="11"/>
      <c r="J689" s="11"/>
    </row>
    <row r="690">
      <c r="B690" s="11"/>
      <c r="J690" s="11"/>
    </row>
    <row r="691">
      <c r="B691" s="11"/>
      <c r="J691" s="11"/>
    </row>
    <row r="692">
      <c r="B692" s="11"/>
      <c r="J692" s="11"/>
    </row>
    <row r="693">
      <c r="B693" s="11"/>
      <c r="J693" s="11"/>
    </row>
    <row r="694">
      <c r="B694" s="11"/>
      <c r="J694" s="11"/>
    </row>
    <row r="695">
      <c r="B695" s="11"/>
      <c r="J695" s="11"/>
    </row>
    <row r="696">
      <c r="B696" s="11"/>
      <c r="J696" s="11"/>
    </row>
    <row r="697">
      <c r="B697" s="11"/>
      <c r="J697" s="11"/>
    </row>
    <row r="698">
      <c r="B698" s="11"/>
      <c r="J698" s="11"/>
    </row>
    <row r="699">
      <c r="B699" s="11"/>
      <c r="J699" s="11"/>
    </row>
    <row r="700">
      <c r="B700" s="11"/>
      <c r="J700" s="11"/>
    </row>
    <row r="701">
      <c r="B701" s="11"/>
      <c r="J701" s="11"/>
    </row>
    <row r="702">
      <c r="B702" s="11"/>
      <c r="J702" s="11"/>
    </row>
    <row r="703">
      <c r="B703" s="11"/>
      <c r="J703" s="11"/>
    </row>
    <row r="704">
      <c r="B704" s="11"/>
      <c r="J704" s="11"/>
    </row>
    <row r="705">
      <c r="B705" s="11"/>
      <c r="J705" s="11"/>
    </row>
    <row r="706">
      <c r="B706" s="11"/>
      <c r="J706" s="11"/>
    </row>
    <row r="707">
      <c r="B707" s="11"/>
      <c r="J707" s="11"/>
    </row>
    <row r="708">
      <c r="B708" s="11"/>
      <c r="J708" s="11"/>
    </row>
    <row r="709">
      <c r="B709" s="11"/>
      <c r="J709" s="11"/>
    </row>
    <row r="710">
      <c r="B710" s="11"/>
      <c r="J710" s="11"/>
    </row>
    <row r="711">
      <c r="B711" s="11"/>
      <c r="J711" s="11"/>
    </row>
    <row r="712">
      <c r="B712" s="11"/>
      <c r="J712" s="11"/>
    </row>
    <row r="713">
      <c r="B713" s="11"/>
      <c r="J713" s="11"/>
    </row>
    <row r="714">
      <c r="B714" s="11"/>
      <c r="J714" s="11"/>
    </row>
    <row r="715">
      <c r="B715" s="11"/>
      <c r="J715" s="11"/>
    </row>
    <row r="716">
      <c r="B716" s="11"/>
      <c r="J716" s="11"/>
    </row>
    <row r="717">
      <c r="B717" s="11"/>
      <c r="J717" s="11"/>
    </row>
    <row r="718">
      <c r="B718" s="11"/>
      <c r="J718" s="11"/>
    </row>
    <row r="719">
      <c r="B719" s="11"/>
      <c r="J719" s="11"/>
    </row>
    <row r="720">
      <c r="B720" s="11"/>
      <c r="J720" s="11"/>
    </row>
    <row r="721">
      <c r="B721" s="11"/>
      <c r="J721" s="11"/>
    </row>
    <row r="722">
      <c r="B722" s="11"/>
      <c r="J722" s="11"/>
    </row>
    <row r="723">
      <c r="B723" s="11"/>
      <c r="J723" s="11"/>
    </row>
    <row r="724">
      <c r="B724" s="11"/>
      <c r="J724" s="11"/>
    </row>
    <row r="725">
      <c r="B725" s="11"/>
      <c r="J725" s="11"/>
    </row>
    <row r="726">
      <c r="B726" s="11"/>
      <c r="J726" s="11"/>
    </row>
    <row r="727">
      <c r="B727" s="11"/>
      <c r="J727" s="11"/>
    </row>
    <row r="728">
      <c r="B728" s="11"/>
      <c r="J728" s="11"/>
    </row>
    <row r="729">
      <c r="B729" s="11"/>
      <c r="J729" s="11"/>
    </row>
    <row r="730">
      <c r="B730" s="11"/>
      <c r="J730" s="11"/>
    </row>
    <row r="731">
      <c r="B731" s="11"/>
      <c r="J731" s="11"/>
    </row>
    <row r="732">
      <c r="B732" s="11"/>
      <c r="J732" s="11"/>
    </row>
    <row r="733">
      <c r="B733" s="11"/>
      <c r="J733" s="11"/>
    </row>
    <row r="734">
      <c r="B734" s="11"/>
      <c r="J734" s="11"/>
    </row>
    <row r="735">
      <c r="B735" s="11"/>
      <c r="J735" s="11"/>
    </row>
    <row r="736">
      <c r="B736" s="11"/>
      <c r="J736" s="11"/>
    </row>
    <row r="737">
      <c r="B737" s="11"/>
      <c r="J737" s="11"/>
    </row>
    <row r="738">
      <c r="B738" s="11"/>
      <c r="J738" s="11"/>
    </row>
    <row r="739">
      <c r="B739" s="11"/>
      <c r="J739" s="11"/>
    </row>
    <row r="740">
      <c r="B740" s="11"/>
      <c r="J740" s="11"/>
    </row>
    <row r="741">
      <c r="B741" s="11"/>
      <c r="J741" s="11"/>
    </row>
    <row r="742">
      <c r="B742" s="11"/>
      <c r="J742" s="11"/>
    </row>
    <row r="743">
      <c r="B743" s="11"/>
      <c r="J743" s="11"/>
    </row>
    <row r="744">
      <c r="B744" s="11"/>
      <c r="J744" s="11"/>
    </row>
    <row r="745">
      <c r="B745" s="11"/>
      <c r="J745" s="11"/>
    </row>
    <row r="746">
      <c r="B746" s="11"/>
      <c r="J746" s="11"/>
    </row>
    <row r="747">
      <c r="B747" s="11"/>
      <c r="J747" s="11"/>
    </row>
    <row r="748">
      <c r="B748" s="11"/>
      <c r="J748" s="11"/>
    </row>
    <row r="749">
      <c r="B749" s="11"/>
      <c r="J749" s="11"/>
    </row>
    <row r="750">
      <c r="B750" s="11"/>
      <c r="J750" s="11"/>
    </row>
    <row r="751">
      <c r="B751" s="11"/>
      <c r="J751" s="11"/>
    </row>
    <row r="752">
      <c r="B752" s="11"/>
      <c r="J752" s="11"/>
    </row>
    <row r="753">
      <c r="B753" s="11"/>
      <c r="J753" s="11"/>
    </row>
    <row r="754">
      <c r="B754" s="11"/>
      <c r="J754" s="11"/>
    </row>
    <row r="755">
      <c r="B755" s="11"/>
      <c r="J755" s="11"/>
    </row>
    <row r="756">
      <c r="B756" s="11"/>
      <c r="J756" s="11"/>
    </row>
    <row r="757">
      <c r="B757" s="11"/>
      <c r="J757" s="11"/>
    </row>
    <row r="758">
      <c r="B758" s="11"/>
      <c r="J758" s="11"/>
    </row>
    <row r="759">
      <c r="B759" s="11"/>
      <c r="J759" s="11"/>
    </row>
    <row r="760">
      <c r="B760" s="11"/>
      <c r="J760" s="11"/>
    </row>
    <row r="761">
      <c r="B761" s="11"/>
      <c r="J761" s="11"/>
    </row>
    <row r="762">
      <c r="B762" s="11"/>
      <c r="J762" s="11"/>
    </row>
    <row r="763">
      <c r="B763" s="11"/>
      <c r="J763" s="11"/>
    </row>
    <row r="764">
      <c r="B764" s="11"/>
      <c r="J764" s="11"/>
    </row>
    <row r="765">
      <c r="B765" s="11"/>
      <c r="J765" s="11"/>
    </row>
    <row r="766">
      <c r="B766" s="11"/>
      <c r="J766" s="11"/>
    </row>
    <row r="767">
      <c r="B767" s="11"/>
      <c r="J767" s="11"/>
    </row>
    <row r="768">
      <c r="B768" s="11"/>
      <c r="J768" s="11"/>
    </row>
    <row r="769">
      <c r="B769" s="11"/>
      <c r="J769" s="11"/>
    </row>
    <row r="770">
      <c r="B770" s="11"/>
      <c r="J770" s="11"/>
    </row>
    <row r="771">
      <c r="B771" s="11"/>
      <c r="J771" s="11"/>
    </row>
    <row r="772">
      <c r="B772" s="11"/>
      <c r="J772" s="11"/>
    </row>
    <row r="773">
      <c r="B773" s="11"/>
      <c r="J773" s="11"/>
    </row>
    <row r="774">
      <c r="B774" s="11"/>
      <c r="J774" s="11"/>
    </row>
    <row r="775">
      <c r="B775" s="11"/>
      <c r="J775" s="11"/>
    </row>
    <row r="776">
      <c r="B776" s="11"/>
      <c r="J776" s="11"/>
    </row>
    <row r="777">
      <c r="B777" s="11"/>
      <c r="J777" s="11"/>
    </row>
    <row r="778">
      <c r="B778" s="11"/>
      <c r="J778" s="11"/>
    </row>
    <row r="779">
      <c r="B779" s="11"/>
      <c r="J779" s="11"/>
    </row>
    <row r="780">
      <c r="B780" s="11"/>
      <c r="J780" s="11"/>
    </row>
    <row r="781">
      <c r="B781" s="11"/>
      <c r="J781" s="11"/>
    </row>
    <row r="782">
      <c r="B782" s="11"/>
      <c r="J782" s="11"/>
    </row>
    <row r="783">
      <c r="B783" s="11"/>
      <c r="J783" s="11"/>
    </row>
    <row r="784">
      <c r="B784" s="11"/>
      <c r="J784" s="11"/>
    </row>
    <row r="785">
      <c r="B785" s="11"/>
      <c r="J785" s="11"/>
    </row>
    <row r="786">
      <c r="B786" s="11"/>
      <c r="J786" s="11"/>
    </row>
    <row r="787">
      <c r="B787" s="11"/>
      <c r="J787" s="11"/>
    </row>
    <row r="788">
      <c r="B788" s="11"/>
      <c r="J788" s="11"/>
    </row>
    <row r="789">
      <c r="B789" s="11"/>
      <c r="J789" s="11"/>
    </row>
    <row r="790">
      <c r="B790" s="11"/>
      <c r="J790" s="11"/>
    </row>
    <row r="791">
      <c r="B791" s="11"/>
      <c r="J791" s="11"/>
    </row>
    <row r="792">
      <c r="B792" s="11"/>
      <c r="J792" s="11"/>
    </row>
    <row r="793">
      <c r="B793" s="11"/>
      <c r="J793" s="11"/>
    </row>
    <row r="794">
      <c r="B794" s="11"/>
      <c r="J794" s="11"/>
    </row>
    <row r="795">
      <c r="B795" s="11"/>
      <c r="J795" s="11"/>
    </row>
    <row r="796">
      <c r="B796" s="11"/>
      <c r="J796" s="11"/>
    </row>
    <row r="797">
      <c r="B797" s="11"/>
      <c r="J797" s="11"/>
    </row>
    <row r="798">
      <c r="B798" s="11"/>
      <c r="J798" s="11"/>
    </row>
    <row r="799">
      <c r="B799" s="11"/>
      <c r="J799" s="11"/>
    </row>
    <row r="800">
      <c r="B800" s="11"/>
      <c r="J800" s="11"/>
    </row>
    <row r="801">
      <c r="B801" s="11"/>
      <c r="J801" s="11"/>
    </row>
    <row r="802">
      <c r="B802" s="11"/>
      <c r="J802" s="11"/>
    </row>
    <row r="803">
      <c r="B803" s="11"/>
      <c r="J803" s="11"/>
    </row>
    <row r="804">
      <c r="B804" s="11"/>
      <c r="J804" s="11"/>
    </row>
    <row r="805">
      <c r="B805" s="11"/>
      <c r="J805" s="11"/>
    </row>
    <row r="806">
      <c r="B806" s="11"/>
      <c r="J806" s="11"/>
    </row>
    <row r="807">
      <c r="B807" s="11"/>
      <c r="J807" s="11"/>
    </row>
    <row r="808">
      <c r="B808" s="11"/>
      <c r="J808" s="11"/>
    </row>
    <row r="809">
      <c r="B809" s="11"/>
      <c r="J809" s="11"/>
    </row>
    <row r="810">
      <c r="B810" s="11"/>
      <c r="J810" s="11"/>
    </row>
    <row r="811">
      <c r="B811" s="11"/>
      <c r="J811" s="11"/>
    </row>
    <row r="812">
      <c r="B812" s="11"/>
      <c r="J812" s="11"/>
    </row>
    <row r="813">
      <c r="B813" s="11"/>
      <c r="J813" s="11"/>
    </row>
    <row r="814">
      <c r="B814" s="11"/>
      <c r="J814" s="11"/>
    </row>
    <row r="815">
      <c r="B815" s="11"/>
      <c r="J815" s="11"/>
    </row>
    <row r="816">
      <c r="B816" s="11"/>
      <c r="J816" s="11"/>
    </row>
    <row r="817">
      <c r="B817" s="11"/>
      <c r="J817" s="11"/>
    </row>
    <row r="818">
      <c r="B818" s="11"/>
      <c r="J818" s="11"/>
    </row>
    <row r="819">
      <c r="B819" s="11"/>
      <c r="J819" s="11"/>
    </row>
    <row r="820">
      <c r="B820" s="11"/>
      <c r="J820" s="11"/>
    </row>
    <row r="821">
      <c r="B821" s="11"/>
      <c r="J821" s="11"/>
    </row>
    <row r="822">
      <c r="B822" s="11"/>
      <c r="J822" s="11"/>
    </row>
    <row r="823">
      <c r="B823" s="11"/>
      <c r="J823" s="11"/>
    </row>
    <row r="824">
      <c r="B824" s="11"/>
      <c r="J824" s="11"/>
    </row>
    <row r="825">
      <c r="B825" s="11"/>
      <c r="J825" s="11"/>
    </row>
    <row r="826">
      <c r="B826" s="11"/>
      <c r="J826" s="11"/>
    </row>
    <row r="827">
      <c r="B827" s="11"/>
      <c r="J827" s="11"/>
    </row>
    <row r="828">
      <c r="B828" s="11"/>
      <c r="J828" s="11"/>
    </row>
    <row r="829">
      <c r="B829" s="11"/>
      <c r="J829" s="11"/>
    </row>
    <row r="830">
      <c r="B830" s="11"/>
      <c r="J830" s="11"/>
    </row>
    <row r="831">
      <c r="B831" s="11"/>
      <c r="J831" s="11"/>
    </row>
    <row r="832">
      <c r="B832" s="11"/>
      <c r="J832" s="11"/>
    </row>
    <row r="833">
      <c r="B833" s="11"/>
      <c r="J833" s="11"/>
    </row>
    <row r="834">
      <c r="B834" s="11"/>
      <c r="J834" s="11"/>
    </row>
    <row r="835">
      <c r="B835" s="11"/>
      <c r="J835" s="11"/>
    </row>
    <row r="836">
      <c r="B836" s="11"/>
      <c r="J836" s="11"/>
    </row>
    <row r="837">
      <c r="B837" s="11"/>
      <c r="J837" s="11"/>
    </row>
    <row r="838">
      <c r="B838" s="11"/>
      <c r="J838" s="11"/>
    </row>
    <row r="839">
      <c r="B839" s="11"/>
      <c r="J839" s="11"/>
    </row>
    <row r="840">
      <c r="B840" s="11"/>
      <c r="J840" s="11"/>
    </row>
    <row r="841">
      <c r="B841" s="11"/>
      <c r="J841" s="11"/>
    </row>
    <row r="842">
      <c r="B842" s="11"/>
      <c r="J842" s="11"/>
    </row>
    <row r="843">
      <c r="B843" s="11"/>
      <c r="J843" s="11"/>
    </row>
    <row r="844">
      <c r="B844" s="11"/>
      <c r="J844" s="11"/>
    </row>
    <row r="845">
      <c r="B845" s="11"/>
      <c r="J845" s="11"/>
    </row>
    <row r="846">
      <c r="B846" s="11"/>
      <c r="J846" s="11"/>
    </row>
    <row r="847">
      <c r="B847" s="11"/>
      <c r="J847" s="11"/>
    </row>
    <row r="848">
      <c r="B848" s="11"/>
      <c r="J848" s="11"/>
    </row>
    <row r="849">
      <c r="B849" s="11"/>
      <c r="J849" s="11"/>
    </row>
    <row r="850">
      <c r="B850" s="11"/>
      <c r="J850" s="11"/>
    </row>
    <row r="851">
      <c r="B851" s="11"/>
      <c r="J851" s="11"/>
    </row>
    <row r="852">
      <c r="B852" s="11"/>
      <c r="J852" s="11"/>
    </row>
    <row r="853">
      <c r="B853" s="11"/>
      <c r="J853" s="11"/>
    </row>
    <row r="854">
      <c r="B854" s="11"/>
      <c r="J854" s="11"/>
    </row>
    <row r="855">
      <c r="B855" s="11"/>
      <c r="J855" s="11"/>
    </row>
    <row r="856">
      <c r="B856" s="11"/>
      <c r="J856" s="11"/>
    </row>
    <row r="857">
      <c r="B857" s="11"/>
      <c r="J857" s="11"/>
    </row>
    <row r="858">
      <c r="B858" s="11"/>
      <c r="J858" s="11"/>
    </row>
    <row r="859">
      <c r="B859" s="11"/>
      <c r="J859" s="11"/>
    </row>
    <row r="860">
      <c r="B860" s="11"/>
      <c r="J860" s="11"/>
    </row>
    <row r="861">
      <c r="B861" s="11"/>
      <c r="J861" s="11"/>
    </row>
    <row r="862">
      <c r="B862" s="11"/>
      <c r="J862" s="11"/>
    </row>
    <row r="863">
      <c r="B863" s="11"/>
      <c r="J863" s="11"/>
    </row>
    <row r="864">
      <c r="B864" s="11"/>
      <c r="J864" s="11"/>
    </row>
    <row r="865">
      <c r="B865" s="11"/>
      <c r="J865" s="11"/>
    </row>
    <row r="866">
      <c r="B866" s="11"/>
      <c r="J866" s="11"/>
    </row>
    <row r="867">
      <c r="B867" s="11"/>
      <c r="J867" s="11"/>
    </row>
    <row r="868">
      <c r="B868" s="11"/>
      <c r="J868" s="11"/>
    </row>
    <row r="869">
      <c r="B869" s="11"/>
      <c r="J869" s="11"/>
    </row>
    <row r="870">
      <c r="B870" s="11"/>
      <c r="J870" s="11"/>
    </row>
    <row r="871">
      <c r="B871" s="11"/>
      <c r="J871" s="11"/>
    </row>
    <row r="872">
      <c r="B872" s="11"/>
      <c r="J872" s="11"/>
    </row>
    <row r="873">
      <c r="B873" s="11"/>
      <c r="J873" s="11"/>
    </row>
    <row r="874">
      <c r="B874" s="11"/>
      <c r="J874" s="11"/>
    </row>
    <row r="875">
      <c r="B875" s="11"/>
      <c r="J875" s="11"/>
    </row>
    <row r="876">
      <c r="B876" s="11"/>
      <c r="J876" s="11"/>
    </row>
    <row r="877">
      <c r="B877" s="11"/>
      <c r="J877" s="11"/>
    </row>
    <row r="878">
      <c r="B878" s="11"/>
      <c r="J878" s="11"/>
    </row>
    <row r="879">
      <c r="B879" s="11"/>
      <c r="J879" s="11"/>
    </row>
    <row r="880">
      <c r="B880" s="11"/>
      <c r="J880" s="11"/>
    </row>
    <row r="881">
      <c r="B881" s="11"/>
      <c r="J881" s="11"/>
    </row>
    <row r="882">
      <c r="B882" s="11"/>
      <c r="J882" s="11"/>
    </row>
    <row r="883">
      <c r="B883" s="11"/>
      <c r="J883" s="11"/>
    </row>
    <row r="884">
      <c r="B884" s="11"/>
      <c r="J884" s="11"/>
    </row>
    <row r="885">
      <c r="B885" s="11"/>
      <c r="J885" s="11"/>
    </row>
    <row r="886">
      <c r="B886" s="11"/>
      <c r="J886" s="11"/>
    </row>
    <row r="887">
      <c r="B887" s="11"/>
      <c r="J887" s="11"/>
    </row>
    <row r="888">
      <c r="B888" s="11"/>
      <c r="J888" s="11"/>
    </row>
    <row r="889">
      <c r="B889" s="11"/>
      <c r="J889" s="11"/>
    </row>
    <row r="890">
      <c r="B890" s="11"/>
      <c r="J890" s="11"/>
    </row>
    <row r="891">
      <c r="B891" s="11"/>
      <c r="J891" s="11"/>
    </row>
    <row r="892">
      <c r="B892" s="11"/>
      <c r="J892" s="11"/>
    </row>
    <row r="893">
      <c r="B893" s="11"/>
      <c r="J893" s="11"/>
    </row>
    <row r="894">
      <c r="B894" s="11"/>
      <c r="J894" s="11"/>
    </row>
    <row r="895">
      <c r="B895" s="11"/>
      <c r="J895" s="11"/>
    </row>
    <row r="896">
      <c r="B896" s="11"/>
      <c r="J896" s="11"/>
    </row>
    <row r="897">
      <c r="B897" s="11"/>
      <c r="J897" s="11"/>
    </row>
    <row r="898">
      <c r="B898" s="11"/>
      <c r="J898" s="11"/>
    </row>
    <row r="899">
      <c r="B899" s="11"/>
      <c r="J899" s="11"/>
    </row>
    <row r="900">
      <c r="B900" s="11"/>
      <c r="J900" s="11"/>
    </row>
    <row r="901">
      <c r="B901" s="11"/>
      <c r="J901" s="11"/>
    </row>
    <row r="902">
      <c r="B902" s="11"/>
      <c r="J902" s="11"/>
    </row>
    <row r="903">
      <c r="B903" s="11"/>
      <c r="J903" s="11"/>
    </row>
    <row r="904">
      <c r="B904" s="11"/>
      <c r="J904" s="11"/>
    </row>
    <row r="905">
      <c r="B905" s="11"/>
      <c r="J905" s="11"/>
    </row>
    <row r="906">
      <c r="B906" s="11"/>
      <c r="J906" s="11"/>
    </row>
    <row r="907">
      <c r="B907" s="11"/>
      <c r="J907" s="11"/>
    </row>
    <row r="908">
      <c r="B908" s="11"/>
      <c r="J908" s="11"/>
    </row>
    <row r="909">
      <c r="B909" s="11"/>
      <c r="J909" s="11"/>
    </row>
    <row r="910">
      <c r="B910" s="11"/>
      <c r="J910" s="11"/>
    </row>
    <row r="911">
      <c r="B911" s="11"/>
      <c r="J911" s="11"/>
    </row>
    <row r="912">
      <c r="B912" s="11"/>
      <c r="J912" s="11"/>
    </row>
    <row r="913">
      <c r="B913" s="11"/>
      <c r="J913" s="11"/>
    </row>
    <row r="914">
      <c r="B914" s="11"/>
      <c r="J914" s="11"/>
    </row>
    <row r="915">
      <c r="B915" s="11"/>
      <c r="J915" s="11"/>
    </row>
    <row r="916">
      <c r="B916" s="11"/>
      <c r="J916" s="11"/>
    </row>
    <row r="917">
      <c r="B917" s="11"/>
      <c r="J917" s="11"/>
    </row>
    <row r="918">
      <c r="B918" s="11"/>
      <c r="J918" s="11"/>
    </row>
    <row r="919">
      <c r="B919" s="11"/>
      <c r="J919" s="11"/>
    </row>
    <row r="920">
      <c r="B920" s="11"/>
      <c r="J920" s="11"/>
    </row>
    <row r="921">
      <c r="B921" s="11"/>
      <c r="J921" s="11"/>
    </row>
    <row r="922">
      <c r="B922" s="11"/>
      <c r="J922" s="11"/>
    </row>
    <row r="923">
      <c r="B923" s="11"/>
      <c r="J923" s="11"/>
    </row>
    <row r="924">
      <c r="B924" s="11"/>
      <c r="J924" s="11"/>
    </row>
    <row r="925">
      <c r="B925" s="11"/>
      <c r="J925" s="11"/>
    </row>
    <row r="926">
      <c r="B926" s="11"/>
      <c r="J926" s="11"/>
    </row>
    <row r="927">
      <c r="B927" s="11"/>
      <c r="J927" s="11"/>
    </row>
    <row r="928">
      <c r="B928" s="11"/>
      <c r="J928" s="11"/>
    </row>
    <row r="929">
      <c r="B929" s="11"/>
      <c r="J929" s="11"/>
    </row>
    <row r="930">
      <c r="B930" s="11"/>
      <c r="J930" s="11"/>
    </row>
    <row r="931">
      <c r="B931" s="11"/>
      <c r="J931" s="11"/>
    </row>
    <row r="932">
      <c r="B932" s="11"/>
      <c r="J932" s="11"/>
    </row>
    <row r="933">
      <c r="B933" s="11"/>
      <c r="J933" s="11"/>
    </row>
    <row r="934">
      <c r="B934" s="11"/>
      <c r="J934" s="11"/>
    </row>
    <row r="935">
      <c r="B935" s="11"/>
      <c r="J935" s="11"/>
    </row>
    <row r="936">
      <c r="B936" s="11"/>
      <c r="J936" s="11"/>
    </row>
    <row r="937">
      <c r="B937" s="11"/>
      <c r="J937" s="11"/>
    </row>
    <row r="938">
      <c r="B938" s="11"/>
      <c r="J938" s="11"/>
    </row>
    <row r="939">
      <c r="B939" s="11"/>
      <c r="J939" s="11"/>
    </row>
    <row r="940">
      <c r="B940" s="11"/>
      <c r="J940" s="11"/>
    </row>
    <row r="941">
      <c r="B941" s="11"/>
      <c r="J941" s="11"/>
    </row>
    <row r="942">
      <c r="B942" s="11"/>
      <c r="J942" s="11"/>
    </row>
    <row r="943">
      <c r="B943" s="11"/>
      <c r="J943" s="11"/>
    </row>
    <row r="944">
      <c r="B944" s="11"/>
      <c r="J944" s="11"/>
    </row>
    <row r="945">
      <c r="B945" s="11"/>
      <c r="J945" s="11"/>
    </row>
    <row r="946">
      <c r="B946" s="11"/>
      <c r="J946" s="11"/>
    </row>
    <row r="947">
      <c r="B947" s="11"/>
      <c r="J947" s="11"/>
    </row>
    <row r="948">
      <c r="B948" s="11"/>
      <c r="J948" s="11"/>
    </row>
    <row r="949">
      <c r="B949" s="11"/>
      <c r="J949" s="11"/>
    </row>
    <row r="950">
      <c r="B950" s="11"/>
      <c r="J950" s="11"/>
    </row>
    <row r="951">
      <c r="B951" s="11"/>
      <c r="J951" s="11"/>
    </row>
    <row r="952">
      <c r="B952" s="11"/>
      <c r="J952" s="11"/>
    </row>
    <row r="953">
      <c r="B953" s="11"/>
      <c r="J953" s="11"/>
    </row>
    <row r="954">
      <c r="B954" s="11"/>
      <c r="J954" s="11"/>
    </row>
    <row r="955">
      <c r="B955" s="11"/>
      <c r="J955" s="11"/>
    </row>
    <row r="956">
      <c r="B956" s="11"/>
      <c r="J956" s="11"/>
    </row>
    <row r="957">
      <c r="B957" s="11"/>
      <c r="J957" s="11"/>
    </row>
    <row r="958">
      <c r="B958" s="11"/>
      <c r="J958" s="11"/>
    </row>
    <row r="959">
      <c r="B959" s="11"/>
      <c r="J959" s="11"/>
    </row>
    <row r="960">
      <c r="B960" s="11"/>
      <c r="J960" s="11"/>
    </row>
    <row r="961">
      <c r="B961" s="11"/>
      <c r="J961" s="11"/>
    </row>
    <row r="962">
      <c r="B962" s="11"/>
      <c r="J962" s="11"/>
    </row>
    <row r="963">
      <c r="B963" s="11"/>
      <c r="J963" s="11"/>
    </row>
    <row r="964">
      <c r="B964" s="11"/>
      <c r="J964" s="11"/>
    </row>
    <row r="965">
      <c r="B965" s="11"/>
      <c r="J965" s="11"/>
    </row>
    <row r="966">
      <c r="B966" s="11"/>
      <c r="J966" s="11"/>
    </row>
    <row r="967">
      <c r="B967" s="11"/>
      <c r="J967" s="11"/>
    </row>
    <row r="968">
      <c r="B968" s="11"/>
      <c r="J968" s="11"/>
    </row>
    <row r="969">
      <c r="B969" s="11"/>
      <c r="J969" s="11"/>
    </row>
    <row r="970">
      <c r="B970" s="11"/>
      <c r="J970" s="11"/>
    </row>
    <row r="971">
      <c r="B971" s="11"/>
      <c r="J971" s="11"/>
    </row>
    <row r="972">
      <c r="B972" s="11"/>
      <c r="J972" s="11"/>
    </row>
    <row r="973">
      <c r="B973" s="11"/>
      <c r="J973" s="11"/>
    </row>
    <row r="974">
      <c r="B974" s="11"/>
      <c r="J974" s="11"/>
    </row>
    <row r="975">
      <c r="B975" s="11"/>
      <c r="J975" s="11"/>
    </row>
    <row r="976">
      <c r="B976" s="11"/>
      <c r="J976" s="11"/>
    </row>
    <row r="977">
      <c r="B977" s="11"/>
      <c r="J977" s="11"/>
    </row>
    <row r="978">
      <c r="B978" s="11"/>
      <c r="J978" s="11"/>
    </row>
    <row r="979">
      <c r="B979" s="11"/>
      <c r="J979" s="11"/>
    </row>
    <row r="980">
      <c r="B980" s="11"/>
      <c r="J980" s="11"/>
    </row>
    <row r="981">
      <c r="B981" s="11"/>
      <c r="J981" s="11"/>
    </row>
    <row r="982">
      <c r="B982" s="11"/>
      <c r="J982" s="11"/>
    </row>
    <row r="983">
      <c r="B983" s="11"/>
      <c r="J983" s="11"/>
    </row>
    <row r="984">
      <c r="B984" s="11"/>
      <c r="J984" s="11"/>
    </row>
    <row r="985">
      <c r="B985" s="11"/>
      <c r="J985" s="11"/>
    </row>
    <row r="986">
      <c r="B986" s="11"/>
      <c r="J986" s="11"/>
    </row>
    <row r="987">
      <c r="B987" s="11"/>
      <c r="J987" s="11"/>
    </row>
    <row r="988">
      <c r="B988" s="11"/>
      <c r="J988" s="11"/>
    </row>
    <row r="989">
      <c r="B989" s="11"/>
      <c r="J989" s="11"/>
    </row>
    <row r="990">
      <c r="B990" s="11"/>
      <c r="J990" s="11"/>
    </row>
    <row r="991">
      <c r="B991" s="11"/>
      <c r="J991" s="11"/>
    </row>
    <row r="992">
      <c r="B992" s="11"/>
      <c r="J992" s="11"/>
    </row>
    <row r="993">
      <c r="B993" s="11"/>
      <c r="J993" s="11"/>
    </row>
    <row r="994">
      <c r="B994" s="11"/>
      <c r="J994" s="11"/>
    </row>
    <row r="995">
      <c r="B995" s="11"/>
      <c r="J995" s="11"/>
    </row>
    <row r="996">
      <c r="B996" s="11"/>
      <c r="J996" s="11"/>
    </row>
    <row r="997">
      <c r="B997" s="11"/>
      <c r="J997" s="11"/>
    </row>
    <row r="998">
      <c r="B998" s="11"/>
      <c r="J998" s="11"/>
    </row>
    <row r="999">
      <c r="B999" s="11"/>
      <c r="J999" s="11"/>
    </row>
    <row r="1000">
      <c r="B1000" s="11"/>
      <c r="J1000" s="11"/>
    </row>
  </sheetData>
  <mergeCells count="1">
    <mergeCell ref="A2:A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4.0"/>
    <col customWidth="1" min="4" max="4" width="35.22"/>
    <col customWidth="1" min="5" max="6" width="24.0"/>
    <col customWidth="1" min="7" max="7" width="29.89"/>
    <col customWidth="1" min="8" max="8" width="24.0"/>
    <col customWidth="1" min="9" max="9" width="34.44"/>
    <col customWidth="1" min="10" max="10" width="24.0"/>
    <col customWidth="1" min="11" max="11" width="38.22"/>
  </cols>
  <sheetData>
    <row r="1">
      <c r="A1" s="7" t="s">
        <v>0</v>
      </c>
      <c r="B1" s="8" t="s">
        <v>1</v>
      </c>
      <c r="C1" s="8" t="s">
        <v>2</v>
      </c>
      <c r="D1" s="8" t="s">
        <v>3</v>
      </c>
      <c r="E1" s="8" t="s">
        <v>4</v>
      </c>
      <c r="F1" s="8" t="s">
        <v>5</v>
      </c>
      <c r="G1" s="8" t="s">
        <v>6</v>
      </c>
      <c r="H1" s="7" t="s">
        <v>7</v>
      </c>
      <c r="I1" s="7" t="s">
        <v>8</v>
      </c>
      <c r="J1" s="7" t="s">
        <v>87</v>
      </c>
      <c r="K1" s="7" t="s">
        <v>9</v>
      </c>
      <c r="M1" s="9"/>
      <c r="N1" s="9"/>
      <c r="O1" s="9"/>
      <c r="P1" s="9"/>
      <c r="Q1" s="9"/>
      <c r="R1" s="9"/>
      <c r="S1" s="9"/>
      <c r="T1" s="9"/>
      <c r="U1" s="9"/>
      <c r="V1" s="9"/>
      <c r="W1" s="9"/>
      <c r="X1" s="9"/>
      <c r="Y1" s="9"/>
      <c r="Z1" s="9"/>
      <c r="AA1" s="9"/>
    </row>
    <row r="2">
      <c r="A2" s="20" t="s">
        <v>227</v>
      </c>
      <c r="B2" s="19">
        <v>1.0</v>
      </c>
      <c r="C2" s="5" t="s">
        <v>228</v>
      </c>
      <c r="D2" s="5" t="s">
        <v>229</v>
      </c>
      <c r="E2" s="5" t="s">
        <v>230</v>
      </c>
      <c r="F2" s="5" t="s">
        <v>231</v>
      </c>
      <c r="G2" s="5" t="s">
        <v>232</v>
      </c>
      <c r="H2" s="5" t="s">
        <v>233</v>
      </c>
      <c r="I2" s="5" t="s">
        <v>234</v>
      </c>
      <c r="J2" s="6" t="s">
        <v>96</v>
      </c>
      <c r="K2" s="5" t="s">
        <v>235</v>
      </c>
    </row>
    <row r="3">
      <c r="B3" s="19">
        <v>2.0</v>
      </c>
      <c r="C3" s="5" t="s">
        <v>236</v>
      </c>
      <c r="D3" s="5" t="s">
        <v>237</v>
      </c>
      <c r="E3" s="5" t="s">
        <v>238</v>
      </c>
      <c r="F3" s="5" t="s">
        <v>239</v>
      </c>
      <c r="G3" s="5" t="s">
        <v>240</v>
      </c>
      <c r="H3" s="5" t="s">
        <v>241</v>
      </c>
      <c r="I3" s="5" t="s">
        <v>242</v>
      </c>
      <c r="J3" s="6" t="s">
        <v>96</v>
      </c>
      <c r="K3" s="5" t="s">
        <v>243</v>
      </c>
    </row>
    <row r="4">
      <c r="B4" s="19">
        <v>3.0</v>
      </c>
      <c r="C4" s="5" t="s">
        <v>244</v>
      </c>
      <c r="D4" s="5" t="s">
        <v>245</v>
      </c>
      <c r="E4" s="5" t="s">
        <v>246</v>
      </c>
      <c r="F4" s="5" t="s">
        <v>247</v>
      </c>
      <c r="G4" s="5" t="s">
        <v>248</v>
      </c>
      <c r="H4" s="5" t="s">
        <v>249</v>
      </c>
      <c r="I4" s="5" t="s">
        <v>250</v>
      </c>
      <c r="J4" s="6" t="s">
        <v>96</v>
      </c>
      <c r="K4" s="5" t="s">
        <v>251</v>
      </c>
    </row>
    <row r="5">
      <c r="B5" s="19">
        <v>4.0</v>
      </c>
      <c r="C5" s="5" t="s">
        <v>252</v>
      </c>
      <c r="D5" s="5" t="s">
        <v>253</v>
      </c>
      <c r="E5" s="5" t="s">
        <v>254</v>
      </c>
      <c r="F5" s="5" t="s">
        <v>255</v>
      </c>
      <c r="G5" s="5" t="s">
        <v>256</v>
      </c>
      <c r="H5" s="5" t="s">
        <v>257</v>
      </c>
      <c r="I5" s="5" t="s">
        <v>258</v>
      </c>
      <c r="J5" s="6" t="s">
        <v>96</v>
      </c>
      <c r="K5" s="5" t="s">
        <v>259</v>
      </c>
    </row>
    <row r="6">
      <c r="B6" s="19">
        <v>5.0</v>
      </c>
      <c r="C6" s="5" t="s">
        <v>260</v>
      </c>
      <c r="D6" s="5" t="s">
        <v>261</v>
      </c>
      <c r="E6" s="5" t="s">
        <v>262</v>
      </c>
      <c r="F6" s="5" t="s">
        <v>263</v>
      </c>
      <c r="G6" s="5" t="s">
        <v>264</v>
      </c>
      <c r="H6" s="5" t="s">
        <v>265</v>
      </c>
      <c r="I6" s="5" t="s">
        <v>266</v>
      </c>
      <c r="J6" s="6" t="s">
        <v>96</v>
      </c>
      <c r="K6" s="5" t="s">
        <v>267</v>
      </c>
    </row>
    <row r="7">
      <c r="B7" s="11"/>
      <c r="J7" s="11"/>
    </row>
    <row r="8">
      <c r="B8" s="11"/>
      <c r="J8" s="11"/>
    </row>
    <row r="9">
      <c r="B9" s="11"/>
      <c r="J9" s="11"/>
    </row>
    <row r="10">
      <c r="B10" s="11"/>
      <c r="J10" s="11"/>
    </row>
    <row r="11">
      <c r="B11" s="11"/>
      <c r="J11" s="11"/>
    </row>
    <row r="12">
      <c r="B12" s="11"/>
      <c r="J12" s="11"/>
    </row>
    <row r="13">
      <c r="B13" s="11"/>
      <c r="J13" s="11"/>
    </row>
    <row r="14">
      <c r="B14" s="11"/>
      <c r="J14" s="11"/>
    </row>
    <row r="15">
      <c r="B15" s="11"/>
      <c r="J15" s="11"/>
    </row>
    <row r="16">
      <c r="B16" s="11"/>
      <c r="J16" s="11"/>
    </row>
    <row r="17">
      <c r="B17" s="11"/>
      <c r="J17" s="11"/>
    </row>
    <row r="18">
      <c r="B18" s="11"/>
      <c r="J18" s="11"/>
    </row>
    <row r="19">
      <c r="B19" s="11"/>
      <c r="J19" s="11"/>
    </row>
    <row r="20">
      <c r="B20" s="11"/>
      <c r="J20" s="11"/>
    </row>
    <row r="21">
      <c r="B21" s="11"/>
      <c r="J21" s="11"/>
    </row>
    <row r="22">
      <c r="B22" s="11"/>
      <c r="J22" s="11"/>
    </row>
    <row r="23">
      <c r="B23" s="11"/>
      <c r="J23" s="11"/>
    </row>
    <row r="24">
      <c r="B24" s="11"/>
      <c r="J24" s="11"/>
    </row>
    <row r="25">
      <c r="B25" s="11"/>
      <c r="J25" s="11"/>
    </row>
    <row r="26">
      <c r="B26" s="11"/>
      <c r="J26" s="11"/>
    </row>
    <row r="27">
      <c r="B27" s="11"/>
      <c r="J27" s="11"/>
    </row>
    <row r="28">
      <c r="B28" s="11"/>
      <c r="J28" s="11"/>
    </row>
    <row r="29">
      <c r="B29" s="11"/>
      <c r="J29" s="11"/>
    </row>
    <row r="30">
      <c r="B30" s="11"/>
      <c r="J30" s="11"/>
    </row>
    <row r="31">
      <c r="B31" s="11"/>
      <c r="J31" s="11"/>
    </row>
    <row r="32">
      <c r="B32" s="11"/>
      <c r="J32" s="11"/>
    </row>
    <row r="33">
      <c r="B33" s="11"/>
      <c r="J33" s="11"/>
    </row>
    <row r="34">
      <c r="B34" s="11"/>
      <c r="J34" s="11"/>
    </row>
    <row r="35">
      <c r="B35" s="11"/>
      <c r="J35" s="11"/>
    </row>
    <row r="36">
      <c r="B36" s="11"/>
      <c r="J36" s="11"/>
    </row>
    <row r="37">
      <c r="B37" s="11"/>
      <c r="J37" s="11"/>
    </row>
    <row r="38">
      <c r="B38" s="11"/>
      <c r="J38" s="11"/>
    </row>
    <row r="39">
      <c r="B39" s="11"/>
      <c r="J39" s="11"/>
    </row>
    <row r="40">
      <c r="B40" s="11"/>
      <c r="J40" s="11"/>
    </row>
    <row r="41">
      <c r="B41" s="11"/>
      <c r="J41" s="11"/>
    </row>
    <row r="42">
      <c r="B42" s="11"/>
      <c r="J42" s="11"/>
    </row>
    <row r="43">
      <c r="B43" s="11"/>
      <c r="J43" s="11"/>
    </row>
    <row r="44">
      <c r="B44" s="11"/>
      <c r="J44" s="11"/>
    </row>
    <row r="45">
      <c r="B45" s="11"/>
      <c r="J45" s="11"/>
    </row>
    <row r="46">
      <c r="B46" s="11"/>
      <c r="J46" s="11"/>
    </row>
    <row r="47">
      <c r="B47" s="11"/>
      <c r="J47" s="11"/>
    </row>
    <row r="48">
      <c r="B48" s="11"/>
      <c r="J48" s="11"/>
    </row>
    <row r="49">
      <c r="B49" s="11"/>
      <c r="J49" s="11"/>
    </row>
    <row r="50">
      <c r="B50" s="11"/>
      <c r="J50" s="11"/>
    </row>
    <row r="51">
      <c r="B51" s="11"/>
      <c r="J51" s="11"/>
    </row>
    <row r="52">
      <c r="B52" s="11"/>
      <c r="J52" s="11"/>
    </row>
    <row r="53">
      <c r="B53" s="11"/>
      <c r="J53" s="11"/>
    </row>
    <row r="54">
      <c r="B54" s="11"/>
      <c r="J54" s="11"/>
    </row>
    <row r="55">
      <c r="B55" s="11"/>
      <c r="J55" s="11"/>
    </row>
    <row r="56">
      <c r="B56" s="11"/>
      <c r="J56" s="11"/>
    </row>
    <row r="57">
      <c r="B57" s="11"/>
      <c r="J57" s="11"/>
    </row>
    <row r="58">
      <c r="B58" s="11"/>
      <c r="J58" s="11"/>
    </row>
    <row r="59">
      <c r="B59" s="11"/>
      <c r="J59" s="11"/>
    </row>
    <row r="60">
      <c r="B60" s="11"/>
      <c r="J60" s="11"/>
    </row>
    <row r="61">
      <c r="B61" s="11"/>
      <c r="J61" s="11"/>
    </row>
    <row r="62">
      <c r="B62" s="11"/>
      <c r="J62" s="11"/>
    </row>
    <row r="63">
      <c r="B63" s="11"/>
      <c r="J63" s="11"/>
    </row>
    <row r="64">
      <c r="B64" s="11"/>
      <c r="J64" s="11"/>
    </row>
    <row r="65">
      <c r="B65" s="11"/>
      <c r="J65" s="11"/>
    </row>
    <row r="66">
      <c r="B66" s="11"/>
      <c r="J66" s="11"/>
    </row>
    <row r="67">
      <c r="B67" s="11"/>
      <c r="J67" s="11"/>
    </row>
    <row r="68">
      <c r="B68" s="11"/>
      <c r="J68" s="11"/>
    </row>
    <row r="69">
      <c r="B69" s="11"/>
      <c r="J69" s="11"/>
    </row>
    <row r="70">
      <c r="B70" s="11"/>
      <c r="J70" s="11"/>
    </row>
    <row r="71">
      <c r="B71" s="11"/>
      <c r="J71" s="11"/>
    </row>
    <row r="72">
      <c r="B72" s="11"/>
      <c r="J72" s="11"/>
    </row>
    <row r="73">
      <c r="B73" s="11"/>
      <c r="J73" s="11"/>
    </row>
    <row r="74">
      <c r="B74" s="11"/>
      <c r="J74" s="11"/>
    </row>
    <row r="75">
      <c r="B75" s="11"/>
      <c r="J75" s="11"/>
    </row>
    <row r="76">
      <c r="B76" s="11"/>
      <c r="J76" s="11"/>
    </row>
    <row r="77">
      <c r="B77" s="11"/>
      <c r="J77" s="11"/>
    </row>
    <row r="78">
      <c r="B78" s="11"/>
      <c r="J78" s="11"/>
    </row>
    <row r="79">
      <c r="B79" s="11"/>
      <c r="J79" s="11"/>
    </row>
    <row r="80">
      <c r="B80" s="11"/>
      <c r="J80" s="11"/>
    </row>
    <row r="81">
      <c r="B81" s="11"/>
      <c r="J81" s="11"/>
    </row>
    <row r="82">
      <c r="B82" s="11"/>
      <c r="J82" s="11"/>
    </row>
    <row r="83">
      <c r="B83" s="11"/>
      <c r="J83" s="11"/>
    </row>
    <row r="84">
      <c r="B84" s="11"/>
      <c r="J84" s="11"/>
    </row>
    <row r="85">
      <c r="B85" s="11"/>
      <c r="J85" s="11"/>
    </row>
    <row r="86">
      <c r="B86" s="11"/>
      <c r="J86" s="11"/>
    </row>
    <row r="87">
      <c r="B87" s="11"/>
      <c r="J87" s="11"/>
    </row>
    <row r="88">
      <c r="B88" s="11"/>
      <c r="J88" s="11"/>
    </row>
    <row r="89">
      <c r="B89" s="11"/>
      <c r="J89" s="11"/>
    </row>
    <row r="90">
      <c r="B90" s="11"/>
      <c r="J90" s="11"/>
    </row>
    <row r="91">
      <c r="B91" s="11"/>
      <c r="J91" s="11"/>
    </row>
    <row r="92">
      <c r="B92" s="11"/>
      <c r="J92" s="11"/>
    </row>
    <row r="93">
      <c r="B93" s="11"/>
      <c r="J93" s="11"/>
    </row>
    <row r="94">
      <c r="B94" s="11"/>
      <c r="J94" s="11"/>
    </row>
    <row r="95">
      <c r="B95" s="11"/>
      <c r="J95" s="11"/>
    </row>
    <row r="96">
      <c r="B96" s="11"/>
      <c r="J96" s="11"/>
    </row>
    <row r="97">
      <c r="B97" s="11"/>
      <c r="J97" s="11"/>
    </row>
    <row r="98">
      <c r="B98" s="11"/>
      <c r="J98" s="11"/>
    </row>
    <row r="99">
      <c r="B99" s="11"/>
      <c r="J99" s="11"/>
    </row>
    <row r="100">
      <c r="B100" s="11"/>
      <c r="J100" s="11"/>
    </row>
    <row r="101">
      <c r="B101" s="11"/>
      <c r="J101" s="11"/>
    </row>
    <row r="102">
      <c r="B102" s="11"/>
      <c r="J102" s="11"/>
    </row>
    <row r="103">
      <c r="B103" s="11"/>
      <c r="J103" s="11"/>
    </row>
    <row r="104">
      <c r="B104" s="11"/>
      <c r="J104" s="11"/>
    </row>
    <row r="105">
      <c r="B105" s="11"/>
      <c r="J105" s="11"/>
    </row>
    <row r="106">
      <c r="B106" s="11"/>
      <c r="J106" s="11"/>
    </row>
    <row r="107">
      <c r="B107" s="11"/>
      <c r="J107" s="11"/>
    </row>
    <row r="108">
      <c r="B108" s="11"/>
      <c r="J108" s="11"/>
    </row>
    <row r="109">
      <c r="B109" s="11"/>
      <c r="J109" s="11"/>
    </row>
    <row r="110">
      <c r="B110" s="11"/>
      <c r="J110" s="11"/>
    </row>
    <row r="111">
      <c r="B111" s="11"/>
      <c r="J111" s="11"/>
    </row>
    <row r="112">
      <c r="B112" s="11"/>
      <c r="J112" s="11"/>
    </row>
    <row r="113">
      <c r="B113" s="11"/>
      <c r="J113" s="11"/>
    </row>
    <row r="114">
      <c r="B114" s="11"/>
      <c r="J114" s="11"/>
    </row>
    <row r="115">
      <c r="B115" s="11"/>
      <c r="J115" s="11"/>
    </row>
    <row r="116">
      <c r="B116" s="11"/>
      <c r="J116" s="11"/>
    </row>
    <row r="117">
      <c r="B117" s="11"/>
      <c r="J117" s="11"/>
    </row>
    <row r="118">
      <c r="B118" s="11"/>
      <c r="J118" s="11"/>
    </row>
    <row r="119">
      <c r="B119" s="11"/>
      <c r="J119" s="11"/>
    </row>
    <row r="120">
      <c r="B120" s="11"/>
      <c r="J120" s="11"/>
    </row>
    <row r="121">
      <c r="B121" s="11"/>
      <c r="J121" s="11"/>
    </row>
    <row r="122">
      <c r="B122" s="11"/>
      <c r="J122" s="11"/>
    </row>
    <row r="123">
      <c r="B123" s="11"/>
      <c r="J123" s="11"/>
    </row>
    <row r="124">
      <c r="B124" s="11"/>
      <c r="J124" s="11"/>
    </row>
    <row r="125">
      <c r="B125" s="11"/>
      <c r="J125" s="11"/>
    </row>
    <row r="126">
      <c r="B126" s="11"/>
      <c r="J126" s="11"/>
    </row>
    <row r="127">
      <c r="B127" s="11"/>
      <c r="J127" s="11"/>
    </row>
    <row r="128">
      <c r="B128" s="11"/>
      <c r="J128" s="11"/>
    </row>
    <row r="129">
      <c r="B129" s="11"/>
      <c r="J129" s="11"/>
    </row>
    <row r="130">
      <c r="B130" s="11"/>
      <c r="J130" s="11"/>
    </row>
    <row r="131">
      <c r="B131" s="11"/>
      <c r="J131" s="11"/>
    </row>
    <row r="132">
      <c r="B132" s="11"/>
      <c r="J132" s="11"/>
    </row>
    <row r="133">
      <c r="B133" s="11"/>
      <c r="J133" s="11"/>
    </row>
    <row r="134">
      <c r="B134" s="11"/>
      <c r="J134" s="11"/>
    </row>
    <row r="135">
      <c r="B135" s="11"/>
      <c r="J135" s="11"/>
    </row>
    <row r="136">
      <c r="B136" s="11"/>
      <c r="J136" s="11"/>
    </row>
    <row r="137">
      <c r="B137" s="11"/>
      <c r="J137" s="11"/>
    </row>
    <row r="138">
      <c r="B138" s="11"/>
      <c r="J138" s="11"/>
    </row>
    <row r="139">
      <c r="B139" s="11"/>
      <c r="J139" s="11"/>
    </row>
    <row r="140">
      <c r="B140" s="11"/>
      <c r="J140" s="11"/>
    </row>
    <row r="141">
      <c r="B141" s="11"/>
      <c r="J141" s="11"/>
    </row>
    <row r="142">
      <c r="B142" s="11"/>
      <c r="J142" s="11"/>
    </row>
    <row r="143">
      <c r="B143" s="11"/>
      <c r="J143" s="11"/>
    </row>
    <row r="144">
      <c r="B144" s="11"/>
      <c r="J144" s="11"/>
    </row>
    <row r="145">
      <c r="B145" s="11"/>
      <c r="J145" s="11"/>
    </row>
    <row r="146">
      <c r="B146" s="11"/>
      <c r="J146" s="11"/>
    </row>
    <row r="147">
      <c r="B147" s="11"/>
      <c r="J147" s="11"/>
    </row>
    <row r="148">
      <c r="B148" s="11"/>
      <c r="J148" s="11"/>
    </row>
    <row r="149">
      <c r="B149" s="11"/>
      <c r="J149" s="11"/>
    </row>
    <row r="150">
      <c r="B150" s="11"/>
      <c r="J150" s="11"/>
    </row>
    <row r="151">
      <c r="B151" s="11"/>
      <c r="J151" s="11"/>
    </row>
    <row r="152">
      <c r="B152" s="11"/>
      <c r="J152" s="11"/>
    </row>
    <row r="153">
      <c r="B153" s="11"/>
      <c r="J153" s="11"/>
    </row>
    <row r="154">
      <c r="B154" s="11"/>
      <c r="J154" s="11"/>
    </row>
    <row r="155">
      <c r="B155" s="11"/>
      <c r="J155" s="11"/>
    </row>
    <row r="156">
      <c r="B156" s="11"/>
      <c r="J156" s="11"/>
    </row>
    <row r="157">
      <c r="B157" s="11"/>
      <c r="J157" s="11"/>
    </row>
    <row r="158">
      <c r="B158" s="11"/>
      <c r="J158" s="11"/>
    </row>
    <row r="159">
      <c r="B159" s="11"/>
      <c r="J159" s="11"/>
    </row>
    <row r="160">
      <c r="B160" s="11"/>
      <c r="J160" s="11"/>
    </row>
    <row r="161">
      <c r="B161" s="11"/>
      <c r="J161" s="11"/>
    </row>
    <row r="162">
      <c r="B162" s="11"/>
      <c r="J162" s="11"/>
    </row>
    <row r="163">
      <c r="B163" s="11"/>
      <c r="J163" s="11"/>
    </row>
    <row r="164">
      <c r="B164" s="11"/>
      <c r="J164" s="11"/>
    </row>
    <row r="165">
      <c r="B165" s="11"/>
      <c r="J165" s="11"/>
    </row>
    <row r="166">
      <c r="B166" s="11"/>
      <c r="J166" s="11"/>
    </row>
    <row r="167">
      <c r="B167" s="11"/>
      <c r="J167" s="11"/>
    </row>
    <row r="168">
      <c r="B168" s="11"/>
      <c r="J168" s="11"/>
    </row>
    <row r="169">
      <c r="B169" s="11"/>
      <c r="J169" s="11"/>
    </row>
    <row r="170">
      <c r="B170" s="11"/>
      <c r="J170" s="11"/>
    </row>
    <row r="171">
      <c r="B171" s="11"/>
      <c r="J171" s="11"/>
    </row>
    <row r="172">
      <c r="B172" s="11"/>
      <c r="J172" s="11"/>
    </row>
    <row r="173">
      <c r="B173" s="11"/>
      <c r="J173" s="11"/>
    </row>
    <row r="174">
      <c r="B174" s="11"/>
      <c r="J174" s="11"/>
    </row>
    <row r="175">
      <c r="B175" s="11"/>
      <c r="J175" s="11"/>
    </row>
    <row r="176">
      <c r="B176" s="11"/>
      <c r="J176" s="11"/>
    </row>
    <row r="177">
      <c r="B177" s="11"/>
      <c r="J177" s="11"/>
    </row>
    <row r="178">
      <c r="B178" s="11"/>
      <c r="J178" s="11"/>
    </row>
    <row r="179">
      <c r="B179" s="11"/>
      <c r="J179" s="11"/>
    </row>
    <row r="180">
      <c r="B180" s="11"/>
      <c r="J180" s="11"/>
    </row>
    <row r="181">
      <c r="B181" s="11"/>
      <c r="J181" s="11"/>
    </row>
    <row r="182">
      <c r="B182" s="11"/>
      <c r="J182" s="11"/>
    </row>
    <row r="183">
      <c r="B183" s="11"/>
      <c r="J183" s="11"/>
    </row>
    <row r="184">
      <c r="B184" s="11"/>
      <c r="J184" s="11"/>
    </row>
    <row r="185">
      <c r="B185" s="11"/>
      <c r="J185" s="11"/>
    </row>
    <row r="186">
      <c r="B186" s="11"/>
      <c r="J186" s="11"/>
    </row>
    <row r="187">
      <c r="B187" s="11"/>
      <c r="J187" s="11"/>
    </row>
    <row r="188">
      <c r="B188" s="11"/>
      <c r="J188" s="11"/>
    </row>
    <row r="189">
      <c r="B189" s="11"/>
      <c r="J189" s="11"/>
    </row>
    <row r="190">
      <c r="B190" s="11"/>
      <c r="J190" s="11"/>
    </row>
    <row r="191">
      <c r="B191" s="11"/>
      <c r="J191" s="11"/>
    </row>
    <row r="192">
      <c r="B192" s="11"/>
      <c r="J192" s="11"/>
    </row>
    <row r="193">
      <c r="B193" s="11"/>
      <c r="J193" s="11"/>
    </row>
    <row r="194">
      <c r="B194" s="11"/>
      <c r="J194" s="11"/>
    </row>
    <row r="195">
      <c r="B195" s="11"/>
      <c r="J195" s="11"/>
    </row>
    <row r="196">
      <c r="B196" s="11"/>
      <c r="J196" s="11"/>
    </row>
    <row r="197">
      <c r="B197" s="11"/>
      <c r="J197" s="11"/>
    </row>
    <row r="198">
      <c r="B198" s="11"/>
      <c r="J198" s="11"/>
    </row>
    <row r="199">
      <c r="B199" s="11"/>
      <c r="J199" s="11"/>
    </row>
    <row r="200">
      <c r="B200" s="11"/>
      <c r="J200" s="11"/>
    </row>
    <row r="201">
      <c r="B201" s="11"/>
      <c r="J201" s="11"/>
    </row>
    <row r="202">
      <c r="B202" s="11"/>
      <c r="J202" s="11"/>
    </row>
    <row r="203">
      <c r="B203" s="11"/>
      <c r="J203" s="11"/>
    </row>
    <row r="204">
      <c r="B204" s="11"/>
      <c r="J204" s="11"/>
    </row>
    <row r="205">
      <c r="B205" s="11"/>
      <c r="J205" s="11"/>
    </row>
    <row r="206">
      <c r="B206" s="11"/>
      <c r="J206" s="11"/>
    </row>
    <row r="207">
      <c r="B207" s="11"/>
      <c r="J207" s="11"/>
    </row>
    <row r="208">
      <c r="B208" s="11"/>
      <c r="J208" s="11"/>
    </row>
    <row r="209">
      <c r="B209" s="11"/>
      <c r="J209" s="11"/>
    </row>
    <row r="210">
      <c r="B210" s="11"/>
      <c r="J210" s="11"/>
    </row>
    <row r="211">
      <c r="B211" s="11"/>
      <c r="J211" s="11"/>
    </row>
    <row r="212">
      <c r="B212" s="11"/>
      <c r="J212" s="11"/>
    </row>
    <row r="213">
      <c r="B213" s="11"/>
      <c r="J213" s="11"/>
    </row>
    <row r="214">
      <c r="B214" s="11"/>
      <c r="J214" s="11"/>
    </row>
    <row r="215">
      <c r="B215" s="11"/>
      <c r="J215" s="11"/>
    </row>
    <row r="216">
      <c r="B216" s="11"/>
      <c r="J216" s="11"/>
    </row>
    <row r="217">
      <c r="B217" s="11"/>
      <c r="J217" s="11"/>
    </row>
    <row r="218">
      <c r="B218" s="11"/>
      <c r="J218" s="11"/>
    </row>
    <row r="219">
      <c r="B219" s="11"/>
      <c r="J219" s="11"/>
    </row>
    <row r="220">
      <c r="B220" s="11"/>
      <c r="J220" s="11"/>
    </row>
    <row r="221">
      <c r="B221" s="11"/>
      <c r="J221" s="11"/>
    </row>
    <row r="222">
      <c r="B222" s="11"/>
      <c r="J222" s="11"/>
    </row>
    <row r="223">
      <c r="B223" s="11"/>
      <c r="J223" s="11"/>
    </row>
    <row r="224">
      <c r="B224" s="11"/>
      <c r="J224" s="11"/>
    </row>
    <row r="225">
      <c r="B225" s="11"/>
      <c r="J225" s="11"/>
    </row>
    <row r="226">
      <c r="B226" s="11"/>
      <c r="J226" s="11"/>
    </row>
    <row r="227">
      <c r="B227" s="11"/>
      <c r="J227" s="11"/>
    </row>
    <row r="228">
      <c r="B228" s="11"/>
      <c r="J228" s="11"/>
    </row>
    <row r="229">
      <c r="B229" s="11"/>
      <c r="J229" s="11"/>
    </row>
    <row r="230">
      <c r="B230" s="11"/>
      <c r="J230" s="11"/>
    </row>
    <row r="231">
      <c r="B231" s="11"/>
      <c r="J231" s="11"/>
    </row>
    <row r="232">
      <c r="B232" s="11"/>
      <c r="J232" s="11"/>
    </row>
    <row r="233">
      <c r="B233" s="11"/>
      <c r="J233" s="11"/>
    </row>
    <row r="234">
      <c r="B234" s="11"/>
      <c r="J234" s="11"/>
    </row>
    <row r="235">
      <c r="B235" s="11"/>
      <c r="J235" s="11"/>
    </row>
    <row r="236">
      <c r="B236" s="11"/>
      <c r="J236" s="11"/>
    </row>
    <row r="237">
      <c r="B237" s="11"/>
      <c r="J237" s="11"/>
    </row>
    <row r="238">
      <c r="B238" s="11"/>
      <c r="J238" s="11"/>
    </row>
    <row r="239">
      <c r="B239" s="11"/>
      <c r="J239" s="11"/>
    </row>
    <row r="240">
      <c r="B240" s="11"/>
      <c r="J240" s="11"/>
    </row>
    <row r="241">
      <c r="B241" s="11"/>
      <c r="J241" s="11"/>
    </row>
    <row r="242">
      <c r="B242" s="11"/>
      <c r="J242" s="11"/>
    </row>
    <row r="243">
      <c r="B243" s="11"/>
      <c r="J243" s="11"/>
    </row>
    <row r="244">
      <c r="B244" s="11"/>
      <c r="J244" s="11"/>
    </row>
    <row r="245">
      <c r="B245" s="11"/>
      <c r="J245" s="11"/>
    </row>
    <row r="246">
      <c r="B246" s="11"/>
      <c r="J246" s="11"/>
    </row>
    <row r="247">
      <c r="B247" s="11"/>
      <c r="J247" s="11"/>
    </row>
    <row r="248">
      <c r="B248" s="11"/>
      <c r="J248" s="11"/>
    </row>
    <row r="249">
      <c r="B249" s="11"/>
      <c r="J249" s="11"/>
    </row>
    <row r="250">
      <c r="B250" s="11"/>
      <c r="J250" s="11"/>
    </row>
    <row r="251">
      <c r="B251" s="11"/>
      <c r="J251" s="11"/>
    </row>
    <row r="252">
      <c r="B252" s="11"/>
      <c r="J252" s="11"/>
    </row>
    <row r="253">
      <c r="B253" s="11"/>
      <c r="J253" s="11"/>
    </row>
    <row r="254">
      <c r="B254" s="11"/>
      <c r="J254" s="11"/>
    </row>
    <row r="255">
      <c r="B255" s="11"/>
      <c r="J255" s="11"/>
    </row>
    <row r="256">
      <c r="B256" s="11"/>
      <c r="J256" s="11"/>
    </row>
    <row r="257">
      <c r="B257" s="11"/>
      <c r="J257" s="11"/>
    </row>
    <row r="258">
      <c r="B258" s="11"/>
      <c r="J258" s="11"/>
    </row>
    <row r="259">
      <c r="B259" s="11"/>
      <c r="J259" s="11"/>
    </row>
    <row r="260">
      <c r="B260" s="11"/>
      <c r="J260" s="11"/>
    </row>
    <row r="261">
      <c r="B261" s="11"/>
      <c r="J261" s="11"/>
    </row>
    <row r="262">
      <c r="B262" s="11"/>
      <c r="J262" s="11"/>
    </row>
    <row r="263">
      <c r="B263" s="11"/>
      <c r="J263" s="11"/>
    </row>
    <row r="264">
      <c r="B264" s="11"/>
      <c r="J264" s="11"/>
    </row>
    <row r="265">
      <c r="B265" s="11"/>
      <c r="J265" s="11"/>
    </row>
    <row r="266">
      <c r="B266" s="11"/>
      <c r="J266" s="11"/>
    </row>
    <row r="267">
      <c r="B267" s="11"/>
      <c r="J267" s="11"/>
    </row>
    <row r="268">
      <c r="B268" s="11"/>
      <c r="J268" s="11"/>
    </row>
    <row r="269">
      <c r="B269" s="11"/>
      <c r="J269" s="11"/>
    </row>
    <row r="270">
      <c r="B270" s="11"/>
      <c r="J270" s="11"/>
    </row>
    <row r="271">
      <c r="B271" s="11"/>
      <c r="J271" s="11"/>
    </row>
    <row r="272">
      <c r="B272" s="11"/>
      <c r="J272" s="11"/>
    </row>
    <row r="273">
      <c r="B273" s="11"/>
      <c r="J273" s="11"/>
    </row>
    <row r="274">
      <c r="B274" s="11"/>
      <c r="J274" s="11"/>
    </row>
    <row r="275">
      <c r="B275" s="11"/>
      <c r="J275" s="11"/>
    </row>
    <row r="276">
      <c r="B276" s="11"/>
      <c r="J276" s="11"/>
    </row>
    <row r="277">
      <c r="B277" s="11"/>
      <c r="J277" s="11"/>
    </row>
    <row r="278">
      <c r="B278" s="11"/>
      <c r="J278" s="11"/>
    </row>
    <row r="279">
      <c r="B279" s="11"/>
      <c r="J279" s="11"/>
    </row>
    <row r="280">
      <c r="B280" s="11"/>
      <c r="J280" s="11"/>
    </row>
    <row r="281">
      <c r="B281" s="11"/>
      <c r="J281" s="11"/>
    </row>
    <row r="282">
      <c r="B282" s="11"/>
      <c r="J282" s="11"/>
    </row>
    <row r="283">
      <c r="B283" s="11"/>
      <c r="J283" s="11"/>
    </row>
    <row r="284">
      <c r="B284" s="11"/>
      <c r="J284" s="11"/>
    </row>
    <row r="285">
      <c r="B285" s="11"/>
      <c r="J285" s="11"/>
    </row>
    <row r="286">
      <c r="B286" s="11"/>
      <c r="J286" s="11"/>
    </row>
    <row r="287">
      <c r="B287" s="11"/>
      <c r="J287" s="11"/>
    </row>
    <row r="288">
      <c r="B288" s="11"/>
      <c r="J288" s="11"/>
    </row>
    <row r="289">
      <c r="B289" s="11"/>
      <c r="J289" s="11"/>
    </row>
    <row r="290">
      <c r="B290" s="11"/>
      <c r="J290" s="11"/>
    </row>
    <row r="291">
      <c r="B291" s="11"/>
      <c r="J291" s="11"/>
    </row>
    <row r="292">
      <c r="B292" s="11"/>
      <c r="J292" s="11"/>
    </row>
    <row r="293">
      <c r="B293" s="11"/>
      <c r="J293" s="11"/>
    </row>
    <row r="294">
      <c r="B294" s="11"/>
      <c r="J294" s="11"/>
    </row>
    <row r="295">
      <c r="B295" s="11"/>
      <c r="J295" s="11"/>
    </row>
    <row r="296">
      <c r="B296" s="11"/>
      <c r="J296" s="11"/>
    </row>
    <row r="297">
      <c r="B297" s="11"/>
      <c r="J297" s="11"/>
    </row>
    <row r="298">
      <c r="B298" s="11"/>
      <c r="J298" s="11"/>
    </row>
    <row r="299">
      <c r="B299" s="11"/>
      <c r="J299" s="11"/>
    </row>
    <row r="300">
      <c r="B300" s="11"/>
      <c r="J300" s="11"/>
    </row>
    <row r="301">
      <c r="B301" s="11"/>
      <c r="J301" s="11"/>
    </row>
    <row r="302">
      <c r="B302" s="11"/>
      <c r="J302" s="11"/>
    </row>
    <row r="303">
      <c r="B303" s="11"/>
      <c r="J303" s="11"/>
    </row>
    <row r="304">
      <c r="B304" s="11"/>
      <c r="J304" s="11"/>
    </row>
    <row r="305">
      <c r="B305" s="11"/>
      <c r="J305" s="11"/>
    </row>
    <row r="306">
      <c r="B306" s="11"/>
      <c r="J306" s="11"/>
    </row>
    <row r="307">
      <c r="B307" s="11"/>
      <c r="J307" s="11"/>
    </row>
    <row r="308">
      <c r="B308" s="11"/>
      <c r="J308" s="11"/>
    </row>
    <row r="309">
      <c r="B309" s="11"/>
      <c r="J309" s="11"/>
    </row>
    <row r="310">
      <c r="B310" s="11"/>
      <c r="J310" s="11"/>
    </row>
    <row r="311">
      <c r="B311" s="11"/>
      <c r="J311" s="11"/>
    </row>
    <row r="312">
      <c r="B312" s="11"/>
      <c r="J312" s="11"/>
    </row>
    <row r="313">
      <c r="B313" s="11"/>
      <c r="J313" s="11"/>
    </row>
    <row r="314">
      <c r="B314" s="11"/>
      <c r="J314" s="11"/>
    </row>
    <row r="315">
      <c r="B315" s="11"/>
      <c r="J315" s="11"/>
    </row>
    <row r="316">
      <c r="B316" s="11"/>
      <c r="J316" s="11"/>
    </row>
    <row r="317">
      <c r="B317" s="11"/>
      <c r="J317" s="11"/>
    </row>
    <row r="318">
      <c r="B318" s="11"/>
      <c r="J318" s="11"/>
    </row>
    <row r="319">
      <c r="B319" s="11"/>
      <c r="J319" s="11"/>
    </row>
    <row r="320">
      <c r="B320" s="11"/>
      <c r="J320" s="11"/>
    </row>
    <row r="321">
      <c r="B321" s="11"/>
      <c r="J321" s="11"/>
    </row>
    <row r="322">
      <c r="B322" s="11"/>
      <c r="J322" s="11"/>
    </row>
    <row r="323">
      <c r="B323" s="11"/>
      <c r="J323" s="11"/>
    </row>
    <row r="324">
      <c r="B324" s="11"/>
      <c r="J324" s="11"/>
    </row>
    <row r="325">
      <c r="B325" s="11"/>
      <c r="J325" s="11"/>
    </row>
    <row r="326">
      <c r="B326" s="11"/>
      <c r="J326" s="11"/>
    </row>
    <row r="327">
      <c r="B327" s="11"/>
      <c r="J327" s="11"/>
    </row>
    <row r="328">
      <c r="B328" s="11"/>
      <c r="J328" s="11"/>
    </row>
    <row r="329">
      <c r="B329" s="11"/>
      <c r="J329" s="11"/>
    </row>
    <row r="330">
      <c r="B330" s="11"/>
      <c r="J330" s="11"/>
    </row>
    <row r="331">
      <c r="B331" s="11"/>
      <c r="J331" s="11"/>
    </row>
    <row r="332">
      <c r="B332" s="11"/>
      <c r="J332" s="11"/>
    </row>
    <row r="333">
      <c r="B333" s="11"/>
      <c r="J333" s="11"/>
    </row>
    <row r="334">
      <c r="B334" s="11"/>
      <c r="J334" s="11"/>
    </row>
    <row r="335">
      <c r="B335" s="11"/>
      <c r="J335" s="11"/>
    </row>
    <row r="336">
      <c r="B336" s="11"/>
      <c r="J336" s="11"/>
    </row>
    <row r="337">
      <c r="B337" s="11"/>
      <c r="J337" s="11"/>
    </row>
    <row r="338">
      <c r="B338" s="11"/>
      <c r="J338" s="11"/>
    </row>
    <row r="339">
      <c r="B339" s="11"/>
      <c r="J339" s="11"/>
    </row>
    <row r="340">
      <c r="B340" s="11"/>
      <c r="J340" s="11"/>
    </row>
    <row r="341">
      <c r="B341" s="11"/>
      <c r="J341" s="11"/>
    </row>
    <row r="342">
      <c r="B342" s="11"/>
      <c r="J342" s="11"/>
    </row>
    <row r="343">
      <c r="B343" s="11"/>
      <c r="J343" s="11"/>
    </row>
    <row r="344">
      <c r="B344" s="11"/>
      <c r="J344" s="11"/>
    </row>
    <row r="345">
      <c r="B345" s="11"/>
      <c r="J345" s="11"/>
    </row>
    <row r="346">
      <c r="B346" s="11"/>
      <c r="J346" s="11"/>
    </row>
    <row r="347">
      <c r="B347" s="11"/>
      <c r="J347" s="11"/>
    </row>
    <row r="348">
      <c r="B348" s="11"/>
      <c r="J348" s="11"/>
    </row>
    <row r="349">
      <c r="B349" s="11"/>
      <c r="J349" s="11"/>
    </row>
    <row r="350">
      <c r="B350" s="11"/>
      <c r="J350" s="11"/>
    </row>
    <row r="351">
      <c r="B351" s="11"/>
      <c r="J351" s="11"/>
    </row>
    <row r="352">
      <c r="B352" s="11"/>
      <c r="J352" s="11"/>
    </row>
    <row r="353">
      <c r="B353" s="11"/>
      <c r="J353" s="11"/>
    </row>
    <row r="354">
      <c r="B354" s="11"/>
      <c r="J354" s="11"/>
    </row>
    <row r="355">
      <c r="B355" s="11"/>
      <c r="J355" s="11"/>
    </row>
    <row r="356">
      <c r="B356" s="11"/>
      <c r="J356" s="11"/>
    </row>
    <row r="357">
      <c r="B357" s="11"/>
      <c r="J357" s="11"/>
    </row>
    <row r="358">
      <c r="B358" s="11"/>
      <c r="J358" s="11"/>
    </row>
    <row r="359">
      <c r="B359" s="11"/>
      <c r="J359" s="11"/>
    </row>
    <row r="360">
      <c r="B360" s="11"/>
      <c r="J360" s="11"/>
    </row>
    <row r="361">
      <c r="B361" s="11"/>
      <c r="J361" s="11"/>
    </row>
    <row r="362">
      <c r="B362" s="11"/>
      <c r="J362" s="11"/>
    </row>
    <row r="363">
      <c r="B363" s="11"/>
      <c r="J363" s="11"/>
    </row>
    <row r="364">
      <c r="B364" s="11"/>
      <c r="J364" s="11"/>
    </row>
    <row r="365">
      <c r="B365" s="11"/>
      <c r="J365" s="11"/>
    </row>
    <row r="366">
      <c r="B366" s="11"/>
      <c r="J366" s="11"/>
    </row>
    <row r="367">
      <c r="B367" s="11"/>
      <c r="J367" s="11"/>
    </row>
    <row r="368">
      <c r="B368" s="11"/>
      <c r="J368" s="11"/>
    </row>
    <row r="369">
      <c r="B369" s="11"/>
      <c r="J369" s="11"/>
    </row>
    <row r="370">
      <c r="B370" s="11"/>
      <c r="J370" s="11"/>
    </row>
    <row r="371">
      <c r="B371" s="11"/>
      <c r="J371" s="11"/>
    </row>
    <row r="372">
      <c r="B372" s="11"/>
      <c r="J372" s="11"/>
    </row>
    <row r="373">
      <c r="B373" s="11"/>
      <c r="J373" s="11"/>
    </row>
    <row r="374">
      <c r="B374" s="11"/>
      <c r="J374" s="11"/>
    </row>
    <row r="375">
      <c r="B375" s="11"/>
      <c r="J375" s="11"/>
    </row>
    <row r="376">
      <c r="B376" s="11"/>
      <c r="J376" s="11"/>
    </row>
    <row r="377">
      <c r="B377" s="11"/>
      <c r="J377" s="11"/>
    </row>
    <row r="378">
      <c r="B378" s="11"/>
      <c r="J378" s="11"/>
    </row>
    <row r="379">
      <c r="B379" s="11"/>
      <c r="J379" s="11"/>
    </row>
    <row r="380">
      <c r="B380" s="11"/>
      <c r="J380" s="11"/>
    </row>
    <row r="381">
      <c r="B381" s="11"/>
      <c r="J381" s="11"/>
    </row>
    <row r="382">
      <c r="B382" s="11"/>
      <c r="J382" s="11"/>
    </row>
    <row r="383">
      <c r="B383" s="11"/>
      <c r="J383" s="11"/>
    </row>
    <row r="384">
      <c r="B384" s="11"/>
      <c r="J384" s="11"/>
    </row>
    <row r="385">
      <c r="B385" s="11"/>
      <c r="J385" s="11"/>
    </row>
    <row r="386">
      <c r="B386" s="11"/>
      <c r="J386" s="11"/>
    </row>
    <row r="387">
      <c r="B387" s="11"/>
      <c r="J387" s="11"/>
    </row>
    <row r="388">
      <c r="B388" s="11"/>
      <c r="J388" s="11"/>
    </row>
    <row r="389">
      <c r="B389" s="11"/>
      <c r="J389" s="11"/>
    </row>
    <row r="390">
      <c r="B390" s="11"/>
      <c r="J390" s="11"/>
    </row>
    <row r="391">
      <c r="B391" s="11"/>
      <c r="J391" s="11"/>
    </row>
    <row r="392">
      <c r="B392" s="11"/>
      <c r="J392" s="11"/>
    </row>
    <row r="393">
      <c r="B393" s="11"/>
      <c r="J393" s="11"/>
    </row>
    <row r="394">
      <c r="B394" s="11"/>
      <c r="J394" s="11"/>
    </row>
    <row r="395">
      <c r="B395" s="11"/>
      <c r="J395" s="11"/>
    </row>
    <row r="396">
      <c r="B396" s="11"/>
      <c r="J396" s="11"/>
    </row>
    <row r="397">
      <c r="B397" s="11"/>
      <c r="J397" s="11"/>
    </row>
    <row r="398">
      <c r="B398" s="11"/>
      <c r="J398" s="11"/>
    </row>
    <row r="399">
      <c r="B399" s="11"/>
      <c r="J399" s="11"/>
    </row>
    <row r="400">
      <c r="B400" s="11"/>
      <c r="J400" s="11"/>
    </row>
    <row r="401">
      <c r="B401" s="11"/>
      <c r="J401" s="11"/>
    </row>
    <row r="402">
      <c r="B402" s="11"/>
      <c r="J402" s="11"/>
    </row>
    <row r="403">
      <c r="B403" s="11"/>
      <c r="J403" s="11"/>
    </row>
    <row r="404">
      <c r="B404" s="11"/>
      <c r="J404" s="11"/>
    </row>
    <row r="405">
      <c r="B405" s="11"/>
      <c r="J405" s="11"/>
    </row>
    <row r="406">
      <c r="B406" s="11"/>
      <c r="J406" s="11"/>
    </row>
    <row r="407">
      <c r="B407" s="11"/>
      <c r="J407" s="11"/>
    </row>
    <row r="408">
      <c r="B408" s="11"/>
      <c r="J408" s="11"/>
    </row>
    <row r="409">
      <c r="B409" s="11"/>
      <c r="J409" s="11"/>
    </row>
    <row r="410">
      <c r="B410" s="11"/>
      <c r="J410" s="11"/>
    </row>
    <row r="411">
      <c r="B411" s="11"/>
      <c r="J411" s="11"/>
    </row>
    <row r="412">
      <c r="B412" s="11"/>
      <c r="J412" s="11"/>
    </row>
    <row r="413">
      <c r="B413" s="11"/>
      <c r="J413" s="11"/>
    </row>
    <row r="414">
      <c r="B414" s="11"/>
      <c r="J414" s="11"/>
    </row>
    <row r="415">
      <c r="B415" s="11"/>
      <c r="J415" s="11"/>
    </row>
    <row r="416">
      <c r="B416" s="11"/>
      <c r="J416" s="11"/>
    </row>
    <row r="417">
      <c r="B417" s="11"/>
      <c r="J417" s="11"/>
    </row>
    <row r="418">
      <c r="B418" s="11"/>
      <c r="J418" s="11"/>
    </row>
    <row r="419">
      <c r="B419" s="11"/>
      <c r="J419" s="11"/>
    </row>
    <row r="420">
      <c r="B420" s="11"/>
      <c r="J420" s="11"/>
    </row>
    <row r="421">
      <c r="B421" s="11"/>
      <c r="J421" s="11"/>
    </row>
    <row r="422">
      <c r="B422" s="11"/>
      <c r="J422" s="11"/>
    </row>
    <row r="423">
      <c r="B423" s="11"/>
      <c r="J423" s="11"/>
    </row>
    <row r="424">
      <c r="B424" s="11"/>
      <c r="J424" s="11"/>
    </row>
    <row r="425">
      <c r="B425" s="11"/>
      <c r="J425" s="11"/>
    </row>
    <row r="426">
      <c r="B426" s="11"/>
      <c r="J426" s="11"/>
    </row>
    <row r="427">
      <c r="B427" s="11"/>
      <c r="J427" s="11"/>
    </row>
    <row r="428">
      <c r="B428" s="11"/>
      <c r="J428" s="11"/>
    </row>
    <row r="429">
      <c r="B429" s="11"/>
      <c r="J429" s="11"/>
    </row>
    <row r="430">
      <c r="B430" s="11"/>
      <c r="J430" s="11"/>
    </row>
    <row r="431">
      <c r="B431" s="11"/>
      <c r="J431" s="11"/>
    </row>
    <row r="432">
      <c r="B432" s="11"/>
      <c r="J432" s="11"/>
    </row>
    <row r="433">
      <c r="B433" s="11"/>
      <c r="J433" s="11"/>
    </row>
    <row r="434">
      <c r="B434" s="11"/>
      <c r="J434" s="11"/>
    </row>
    <row r="435">
      <c r="B435" s="11"/>
      <c r="J435" s="11"/>
    </row>
    <row r="436">
      <c r="B436" s="11"/>
      <c r="J436" s="11"/>
    </row>
    <row r="437">
      <c r="B437" s="11"/>
      <c r="J437" s="11"/>
    </row>
    <row r="438">
      <c r="B438" s="11"/>
      <c r="J438" s="11"/>
    </row>
    <row r="439">
      <c r="B439" s="11"/>
      <c r="J439" s="11"/>
    </row>
    <row r="440">
      <c r="B440" s="11"/>
      <c r="J440" s="11"/>
    </row>
    <row r="441">
      <c r="B441" s="11"/>
      <c r="J441" s="11"/>
    </row>
    <row r="442">
      <c r="B442" s="11"/>
      <c r="J442" s="11"/>
    </row>
    <row r="443">
      <c r="B443" s="11"/>
      <c r="J443" s="11"/>
    </row>
    <row r="444">
      <c r="B444" s="11"/>
      <c r="J444" s="11"/>
    </row>
    <row r="445">
      <c r="B445" s="11"/>
      <c r="J445" s="11"/>
    </row>
    <row r="446">
      <c r="B446" s="11"/>
      <c r="J446" s="11"/>
    </row>
    <row r="447">
      <c r="B447" s="11"/>
      <c r="J447" s="11"/>
    </row>
    <row r="448">
      <c r="B448" s="11"/>
      <c r="J448" s="11"/>
    </row>
    <row r="449">
      <c r="B449" s="11"/>
      <c r="J449" s="11"/>
    </row>
    <row r="450">
      <c r="B450" s="11"/>
      <c r="J450" s="11"/>
    </row>
    <row r="451">
      <c r="B451" s="11"/>
      <c r="J451" s="11"/>
    </row>
    <row r="452">
      <c r="B452" s="11"/>
      <c r="J452" s="11"/>
    </row>
    <row r="453">
      <c r="B453" s="11"/>
      <c r="J453" s="11"/>
    </row>
    <row r="454">
      <c r="B454" s="11"/>
      <c r="J454" s="11"/>
    </row>
    <row r="455">
      <c r="B455" s="11"/>
      <c r="J455" s="11"/>
    </row>
    <row r="456">
      <c r="B456" s="11"/>
      <c r="J456" s="11"/>
    </row>
    <row r="457">
      <c r="B457" s="11"/>
      <c r="J457" s="11"/>
    </row>
    <row r="458">
      <c r="B458" s="11"/>
      <c r="J458" s="11"/>
    </row>
    <row r="459">
      <c r="B459" s="11"/>
      <c r="J459" s="11"/>
    </row>
    <row r="460">
      <c r="B460" s="11"/>
      <c r="J460" s="11"/>
    </row>
    <row r="461">
      <c r="B461" s="11"/>
      <c r="J461" s="11"/>
    </row>
    <row r="462">
      <c r="B462" s="11"/>
      <c r="J462" s="11"/>
    </row>
    <row r="463">
      <c r="B463" s="11"/>
      <c r="J463" s="11"/>
    </row>
    <row r="464">
      <c r="B464" s="11"/>
      <c r="J464" s="11"/>
    </row>
    <row r="465">
      <c r="B465" s="11"/>
      <c r="J465" s="11"/>
    </row>
    <row r="466">
      <c r="B466" s="11"/>
      <c r="J466" s="11"/>
    </row>
    <row r="467">
      <c r="B467" s="11"/>
      <c r="J467" s="11"/>
    </row>
    <row r="468">
      <c r="B468" s="11"/>
      <c r="J468" s="11"/>
    </row>
    <row r="469">
      <c r="B469" s="11"/>
      <c r="J469" s="11"/>
    </row>
    <row r="470">
      <c r="B470" s="11"/>
      <c r="J470" s="11"/>
    </row>
    <row r="471">
      <c r="B471" s="11"/>
      <c r="J471" s="11"/>
    </row>
    <row r="472">
      <c r="B472" s="11"/>
      <c r="J472" s="11"/>
    </row>
    <row r="473">
      <c r="B473" s="11"/>
      <c r="J473" s="11"/>
    </row>
    <row r="474">
      <c r="B474" s="11"/>
      <c r="J474" s="11"/>
    </row>
    <row r="475">
      <c r="B475" s="11"/>
      <c r="J475" s="11"/>
    </row>
    <row r="476">
      <c r="B476" s="11"/>
      <c r="J476" s="11"/>
    </row>
    <row r="477">
      <c r="B477" s="11"/>
      <c r="J477" s="11"/>
    </row>
    <row r="478">
      <c r="B478" s="11"/>
      <c r="J478" s="11"/>
    </row>
    <row r="479">
      <c r="B479" s="11"/>
      <c r="J479" s="11"/>
    </row>
    <row r="480">
      <c r="B480" s="11"/>
      <c r="J480" s="11"/>
    </row>
    <row r="481">
      <c r="B481" s="11"/>
      <c r="J481" s="11"/>
    </row>
    <row r="482">
      <c r="B482" s="11"/>
      <c r="J482" s="11"/>
    </row>
    <row r="483">
      <c r="B483" s="11"/>
      <c r="J483" s="11"/>
    </row>
    <row r="484">
      <c r="B484" s="11"/>
      <c r="J484" s="11"/>
    </row>
    <row r="485">
      <c r="B485" s="11"/>
      <c r="J485" s="11"/>
    </row>
    <row r="486">
      <c r="B486" s="11"/>
      <c r="J486" s="11"/>
    </row>
    <row r="487">
      <c r="B487" s="11"/>
      <c r="J487" s="11"/>
    </row>
    <row r="488">
      <c r="B488" s="11"/>
      <c r="J488" s="11"/>
    </row>
    <row r="489">
      <c r="B489" s="11"/>
      <c r="J489" s="11"/>
    </row>
    <row r="490">
      <c r="B490" s="11"/>
      <c r="J490" s="11"/>
    </row>
    <row r="491">
      <c r="B491" s="11"/>
      <c r="J491" s="11"/>
    </row>
    <row r="492">
      <c r="B492" s="11"/>
      <c r="J492" s="11"/>
    </row>
    <row r="493">
      <c r="B493" s="11"/>
      <c r="J493" s="11"/>
    </row>
    <row r="494">
      <c r="B494" s="11"/>
      <c r="J494" s="11"/>
    </row>
    <row r="495">
      <c r="B495" s="11"/>
      <c r="J495" s="11"/>
    </row>
    <row r="496">
      <c r="B496" s="11"/>
      <c r="J496" s="11"/>
    </row>
    <row r="497">
      <c r="B497" s="11"/>
      <c r="J497" s="11"/>
    </row>
    <row r="498">
      <c r="B498" s="11"/>
      <c r="J498" s="11"/>
    </row>
    <row r="499">
      <c r="B499" s="11"/>
      <c r="J499" s="11"/>
    </row>
    <row r="500">
      <c r="B500" s="11"/>
      <c r="J500" s="11"/>
    </row>
    <row r="501">
      <c r="B501" s="11"/>
      <c r="J501" s="11"/>
    </row>
    <row r="502">
      <c r="B502" s="11"/>
      <c r="J502" s="11"/>
    </row>
    <row r="503">
      <c r="B503" s="11"/>
      <c r="J503" s="11"/>
    </row>
    <row r="504">
      <c r="B504" s="11"/>
      <c r="J504" s="11"/>
    </row>
    <row r="505">
      <c r="B505" s="11"/>
      <c r="J505" s="11"/>
    </row>
    <row r="506">
      <c r="B506" s="11"/>
      <c r="J506" s="11"/>
    </row>
    <row r="507">
      <c r="B507" s="11"/>
      <c r="J507" s="11"/>
    </row>
    <row r="508">
      <c r="B508" s="11"/>
      <c r="J508" s="11"/>
    </row>
    <row r="509">
      <c r="B509" s="11"/>
      <c r="J509" s="11"/>
    </row>
    <row r="510">
      <c r="B510" s="11"/>
      <c r="J510" s="11"/>
    </row>
    <row r="511">
      <c r="B511" s="11"/>
      <c r="J511" s="11"/>
    </row>
    <row r="512">
      <c r="B512" s="11"/>
      <c r="J512" s="11"/>
    </row>
    <row r="513">
      <c r="B513" s="11"/>
      <c r="J513" s="11"/>
    </row>
    <row r="514">
      <c r="B514" s="11"/>
      <c r="J514" s="11"/>
    </row>
    <row r="515">
      <c r="B515" s="11"/>
      <c r="J515" s="11"/>
    </row>
    <row r="516">
      <c r="B516" s="11"/>
      <c r="J516" s="11"/>
    </row>
    <row r="517">
      <c r="B517" s="11"/>
      <c r="J517" s="11"/>
    </row>
    <row r="518">
      <c r="B518" s="11"/>
      <c r="J518" s="11"/>
    </row>
    <row r="519">
      <c r="B519" s="11"/>
      <c r="J519" s="11"/>
    </row>
    <row r="520">
      <c r="B520" s="11"/>
      <c r="J520" s="11"/>
    </row>
    <row r="521">
      <c r="B521" s="11"/>
      <c r="J521" s="11"/>
    </row>
    <row r="522">
      <c r="B522" s="11"/>
      <c r="J522" s="11"/>
    </row>
    <row r="523">
      <c r="B523" s="11"/>
      <c r="J523" s="11"/>
    </row>
    <row r="524">
      <c r="B524" s="11"/>
      <c r="J524" s="11"/>
    </row>
    <row r="525">
      <c r="B525" s="11"/>
      <c r="J525" s="11"/>
    </row>
    <row r="526">
      <c r="B526" s="11"/>
      <c r="J526" s="11"/>
    </row>
    <row r="527">
      <c r="B527" s="11"/>
      <c r="J527" s="11"/>
    </row>
    <row r="528">
      <c r="B528" s="11"/>
      <c r="J528" s="11"/>
    </row>
    <row r="529">
      <c r="B529" s="11"/>
      <c r="J529" s="11"/>
    </row>
    <row r="530">
      <c r="B530" s="11"/>
      <c r="J530" s="11"/>
    </row>
    <row r="531">
      <c r="B531" s="11"/>
      <c r="J531" s="11"/>
    </row>
    <row r="532">
      <c r="B532" s="11"/>
      <c r="J532" s="11"/>
    </row>
    <row r="533">
      <c r="B533" s="11"/>
      <c r="J533" s="11"/>
    </row>
    <row r="534">
      <c r="B534" s="11"/>
      <c r="J534" s="11"/>
    </row>
    <row r="535">
      <c r="B535" s="11"/>
      <c r="J535" s="11"/>
    </row>
    <row r="536">
      <c r="B536" s="11"/>
      <c r="J536" s="11"/>
    </row>
    <row r="537">
      <c r="B537" s="11"/>
      <c r="J537" s="11"/>
    </row>
    <row r="538">
      <c r="B538" s="11"/>
      <c r="J538" s="11"/>
    </row>
    <row r="539">
      <c r="B539" s="11"/>
      <c r="J539" s="11"/>
    </row>
    <row r="540">
      <c r="B540" s="11"/>
      <c r="J540" s="11"/>
    </row>
    <row r="541">
      <c r="B541" s="11"/>
      <c r="J541" s="11"/>
    </row>
    <row r="542">
      <c r="B542" s="11"/>
      <c r="J542" s="11"/>
    </row>
    <row r="543">
      <c r="B543" s="11"/>
      <c r="J543" s="11"/>
    </row>
    <row r="544">
      <c r="B544" s="11"/>
      <c r="J544" s="11"/>
    </row>
    <row r="545">
      <c r="B545" s="11"/>
      <c r="J545" s="11"/>
    </row>
    <row r="546">
      <c r="B546" s="11"/>
      <c r="J546" s="11"/>
    </row>
    <row r="547">
      <c r="B547" s="11"/>
      <c r="J547" s="11"/>
    </row>
    <row r="548">
      <c r="B548" s="11"/>
      <c r="J548" s="11"/>
    </row>
    <row r="549">
      <c r="B549" s="11"/>
      <c r="J549" s="11"/>
    </row>
    <row r="550">
      <c r="B550" s="11"/>
      <c r="J550" s="11"/>
    </row>
    <row r="551">
      <c r="B551" s="11"/>
      <c r="J551" s="11"/>
    </row>
    <row r="552">
      <c r="B552" s="11"/>
      <c r="J552" s="11"/>
    </row>
    <row r="553">
      <c r="B553" s="11"/>
      <c r="J553" s="11"/>
    </row>
    <row r="554">
      <c r="B554" s="11"/>
      <c r="J554" s="11"/>
    </row>
    <row r="555">
      <c r="B555" s="11"/>
      <c r="J555" s="11"/>
    </row>
    <row r="556">
      <c r="B556" s="11"/>
      <c r="J556" s="11"/>
    </row>
    <row r="557">
      <c r="B557" s="11"/>
      <c r="J557" s="11"/>
    </row>
    <row r="558">
      <c r="B558" s="11"/>
      <c r="J558" s="11"/>
    </row>
    <row r="559">
      <c r="B559" s="11"/>
      <c r="J559" s="11"/>
    </row>
    <row r="560">
      <c r="B560" s="11"/>
      <c r="J560" s="11"/>
    </row>
    <row r="561">
      <c r="B561" s="11"/>
      <c r="J561" s="11"/>
    </row>
    <row r="562">
      <c r="B562" s="11"/>
      <c r="J562" s="11"/>
    </row>
    <row r="563">
      <c r="B563" s="11"/>
      <c r="J563" s="11"/>
    </row>
    <row r="564">
      <c r="B564" s="11"/>
      <c r="J564" s="11"/>
    </row>
    <row r="565">
      <c r="B565" s="11"/>
      <c r="J565" s="11"/>
    </row>
    <row r="566">
      <c r="B566" s="11"/>
      <c r="J566" s="11"/>
    </row>
    <row r="567">
      <c r="B567" s="11"/>
      <c r="J567" s="11"/>
    </row>
    <row r="568">
      <c r="B568" s="11"/>
      <c r="J568" s="11"/>
    </row>
    <row r="569">
      <c r="B569" s="11"/>
      <c r="J569" s="11"/>
    </row>
    <row r="570">
      <c r="B570" s="11"/>
      <c r="J570" s="11"/>
    </row>
    <row r="571">
      <c r="B571" s="11"/>
      <c r="J571" s="11"/>
    </row>
    <row r="572">
      <c r="B572" s="11"/>
      <c r="J572" s="11"/>
    </row>
    <row r="573">
      <c r="B573" s="11"/>
      <c r="J573" s="11"/>
    </row>
    <row r="574">
      <c r="B574" s="11"/>
      <c r="J574" s="11"/>
    </row>
    <row r="575">
      <c r="B575" s="11"/>
      <c r="J575" s="11"/>
    </row>
    <row r="576">
      <c r="B576" s="11"/>
      <c r="J576" s="11"/>
    </row>
    <row r="577">
      <c r="B577" s="11"/>
      <c r="J577" s="11"/>
    </row>
    <row r="578">
      <c r="B578" s="11"/>
      <c r="J578" s="11"/>
    </row>
    <row r="579">
      <c r="B579" s="11"/>
      <c r="J579" s="11"/>
    </row>
    <row r="580">
      <c r="B580" s="11"/>
      <c r="J580" s="11"/>
    </row>
    <row r="581">
      <c r="B581" s="11"/>
      <c r="J581" s="11"/>
    </row>
    <row r="582">
      <c r="B582" s="11"/>
      <c r="J582" s="11"/>
    </row>
    <row r="583">
      <c r="B583" s="11"/>
      <c r="J583" s="11"/>
    </row>
    <row r="584">
      <c r="B584" s="11"/>
      <c r="J584" s="11"/>
    </row>
    <row r="585">
      <c r="B585" s="11"/>
      <c r="J585" s="11"/>
    </row>
    <row r="586">
      <c r="B586" s="11"/>
      <c r="J586" s="11"/>
    </row>
    <row r="587">
      <c r="B587" s="11"/>
      <c r="J587" s="11"/>
    </row>
    <row r="588">
      <c r="B588" s="11"/>
      <c r="J588" s="11"/>
    </row>
    <row r="589">
      <c r="B589" s="11"/>
      <c r="J589" s="11"/>
    </row>
    <row r="590">
      <c r="B590" s="11"/>
      <c r="J590" s="11"/>
    </row>
    <row r="591">
      <c r="B591" s="11"/>
      <c r="J591" s="11"/>
    </row>
    <row r="592">
      <c r="B592" s="11"/>
      <c r="J592" s="11"/>
    </row>
    <row r="593">
      <c r="B593" s="11"/>
      <c r="J593" s="11"/>
    </row>
    <row r="594">
      <c r="B594" s="11"/>
      <c r="J594" s="11"/>
    </row>
    <row r="595">
      <c r="B595" s="11"/>
      <c r="J595" s="11"/>
    </row>
    <row r="596">
      <c r="B596" s="11"/>
      <c r="J596" s="11"/>
    </row>
    <row r="597">
      <c r="B597" s="11"/>
      <c r="J597" s="11"/>
    </row>
    <row r="598">
      <c r="B598" s="11"/>
      <c r="J598" s="11"/>
    </row>
    <row r="599">
      <c r="B599" s="11"/>
      <c r="J599" s="11"/>
    </row>
    <row r="600">
      <c r="B600" s="11"/>
      <c r="J600" s="11"/>
    </row>
    <row r="601">
      <c r="B601" s="11"/>
      <c r="J601" s="11"/>
    </row>
    <row r="602">
      <c r="B602" s="11"/>
      <c r="J602" s="11"/>
    </row>
    <row r="603">
      <c r="B603" s="11"/>
      <c r="J603" s="11"/>
    </row>
    <row r="604">
      <c r="B604" s="11"/>
      <c r="J604" s="11"/>
    </row>
    <row r="605">
      <c r="B605" s="11"/>
      <c r="J605" s="11"/>
    </row>
    <row r="606">
      <c r="B606" s="11"/>
      <c r="J606" s="11"/>
    </row>
    <row r="607">
      <c r="B607" s="11"/>
      <c r="J607" s="11"/>
    </row>
    <row r="608">
      <c r="B608" s="11"/>
      <c r="J608" s="11"/>
    </row>
    <row r="609">
      <c r="B609" s="11"/>
      <c r="J609" s="11"/>
    </row>
    <row r="610">
      <c r="B610" s="11"/>
      <c r="J610" s="11"/>
    </row>
    <row r="611">
      <c r="B611" s="11"/>
      <c r="J611" s="11"/>
    </row>
    <row r="612">
      <c r="B612" s="11"/>
      <c r="J612" s="11"/>
    </row>
    <row r="613">
      <c r="B613" s="11"/>
      <c r="J613" s="11"/>
    </row>
    <row r="614">
      <c r="B614" s="11"/>
      <c r="J614" s="11"/>
    </row>
    <row r="615">
      <c r="B615" s="11"/>
      <c r="J615" s="11"/>
    </row>
    <row r="616">
      <c r="B616" s="11"/>
      <c r="J616" s="11"/>
    </row>
    <row r="617">
      <c r="B617" s="11"/>
      <c r="J617" s="11"/>
    </row>
    <row r="618">
      <c r="B618" s="11"/>
      <c r="J618" s="11"/>
    </row>
    <row r="619">
      <c r="B619" s="11"/>
      <c r="J619" s="11"/>
    </row>
    <row r="620">
      <c r="B620" s="11"/>
      <c r="J620" s="11"/>
    </row>
    <row r="621">
      <c r="B621" s="11"/>
      <c r="J621" s="11"/>
    </row>
    <row r="622">
      <c r="B622" s="11"/>
      <c r="J622" s="11"/>
    </row>
    <row r="623">
      <c r="B623" s="11"/>
      <c r="J623" s="11"/>
    </row>
    <row r="624">
      <c r="B624" s="11"/>
      <c r="J624" s="11"/>
    </row>
    <row r="625">
      <c r="B625" s="11"/>
      <c r="J625" s="11"/>
    </row>
    <row r="626">
      <c r="B626" s="11"/>
      <c r="J626" s="11"/>
    </row>
    <row r="627">
      <c r="B627" s="11"/>
      <c r="J627" s="11"/>
    </row>
    <row r="628">
      <c r="B628" s="11"/>
      <c r="J628" s="11"/>
    </row>
    <row r="629">
      <c r="B629" s="11"/>
      <c r="J629" s="11"/>
    </row>
    <row r="630">
      <c r="B630" s="11"/>
      <c r="J630" s="11"/>
    </row>
    <row r="631">
      <c r="B631" s="11"/>
      <c r="J631" s="11"/>
    </row>
    <row r="632">
      <c r="B632" s="11"/>
      <c r="J632" s="11"/>
    </row>
    <row r="633">
      <c r="B633" s="11"/>
      <c r="J633" s="11"/>
    </row>
    <row r="634">
      <c r="B634" s="11"/>
      <c r="J634" s="11"/>
    </row>
    <row r="635">
      <c r="B635" s="11"/>
      <c r="J635" s="11"/>
    </row>
    <row r="636">
      <c r="B636" s="11"/>
      <c r="J636" s="11"/>
    </row>
    <row r="637">
      <c r="B637" s="11"/>
      <c r="J637" s="11"/>
    </row>
    <row r="638">
      <c r="B638" s="11"/>
      <c r="J638" s="11"/>
    </row>
    <row r="639">
      <c r="B639" s="11"/>
      <c r="J639" s="11"/>
    </row>
    <row r="640">
      <c r="B640" s="11"/>
      <c r="J640" s="11"/>
    </row>
    <row r="641">
      <c r="B641" s="11"/>
      <c r="J641" s="11"/>
    </row>
    <row r="642">
      <c r="B642" s="11"/>
      <c r="J642" s="11"/>
    </row>
    <row r="643">
      <c r="B643" s="11"/>
      <c r="J643" s="11"/>
    </row>
    <row r="644">
      <c r="B644" s="11"/>
      <c r="J644" s="11"/>
    </row>
    <row r="645">
      <c r="B645" s="11"/>
      <c r="J645" s="11"/>
    </row>
    <row r="646">
      <c r="B646" s="11"/>
      <c r="J646" s="11"/>
    </row>
    <row r="647">
      <c r="B647" s="11"/>
      <c r="J647" s="11"/>
    </row>
    <row r="648">
      <c r="B648" s="11"/>
      <c r="J648" s="11"/>
    </row>
    <row r="649">
      <c r="B649" s="11"/>
      <c r="J649" s="11"/>
    </row>
    <row r="650">
      <c r="B650" s="11"/>
      <c r="J650" s="11"/>
    </row>
    <row r="651">
      <c r="B651" s="11"/>
      <c r="J651" s="11"/>
    </row>
    <row r="652">
      <c r="B652" s="11"/>
      <c r="J652" s="11"/>
    </row>
    <row r="653">
      <c r="B653" s="11"/>
      <c r="J653" s="11"/>
    </row>
    <row r="654">
      <c r="B654" s="11"/>
      <c r="J654" s="11"/>
    </row>
    <row r="655">
      <c r="B655" s="11"/>
      <c r="J655" s="11"/>
    </row>
    <row r="656">
      <c r="B656" s="11"/>
      <c r="J656" s="11"/>
    </row>
    <row r="657">
      <c r="B657" s="11"/>
      <c r="J657" s="11"/>
    </row>
    <row r="658">
      <c r="B658" s="11"/>
      <c r="J658" s="11"/>
    </row>
    <row r="659">
      <c r="B659" s="11"/>
      <c r="J659" s="11"/>
    </row>
    <row r="660">
      <c r="B660" s="11"/>
      <c r="J660" s="11"/>
    </row>
    <row r="661">
      <c r="B661" s="11"/>
      <c r="J661" s="11"/>
    </row>
    <row r="662">
      <c r="B662" s="11"/>
      <c r="J662" s="11"/>
    </row>
    <row r="663">
      <c r="B663" s="11"/>
      <c r="J663" s="11"/>
    </row>
    <row r="664">
      <c r="B664" s="11"/>
      <c r="J664" s="11"/>
    </row>
    <row r="665">
      <c r="B665" s="11"/>
      <c r="J665" s="11"/>
    </row>
    <row r="666">
      <c r="B666" s="11"/>
      <c r="J666" s="11"/>
    </row>
    <row r="667">
      <c r="B667" s="11"/>
      <c r="J667" s="11"/>
    </row>
    <row r="668">
      <c r="B668" s="11"/>
      <c r="J668" s="11"/>
    </row>
    <row r="669">
      <c r="B669" s="11"/>
      <c r="J669" s="11"/>
    </row>
    <row r="670">
      <c r="B670" s="11"/>
      <c r="J670" s="11"/>
    </row>
    <row r="671">
      <c r="B671" s="11"/>
      <c r="J671" s="11"/>
    </row>
    <row r="672">
      <c r="B672" s="11"/>
      <c r="J672" s="11"/>
    </row>
    <row r="673">
      <c r="B673" s="11"/>
      <c r="J673" s="11"/>
    </row>
    <row r="674">
      <c r="B674" s="11"/>
      <c r="J674" s="11"/>
    </row>
    <row r="675">
      <c r="B675" s="11"/>
      <c r="J675" s="11"/>
    </row>
    <row r="676">
      <c r="B676" s="11"/>
      <c r="J676" s="11"/>
    </row>
    <row r="677">
      <c r="B677" s="11"/>
      <c r="J677" s="11"/>
    </row>
    <row r="678">
      <c r="B678" s="11"/>
      <c r="J678" s="11"/>
    </row>
    <row r="679">
      <c r="B679" s="11"/>
      <c r="J679" s="11"/>
    </row>
    <row r="680">
      <c r="B680" s="11"/>
      <c r="J680" s="11"/>
    </row>
    <row r="681">
      <c r="B681" s="11"/>
      <c r="J681" s="11"/>
    </row>
    <row r="682">
      <c r="B682" s="11"/>
      <c r="J682" s="11"/>
    </row>
    <row r="683">
      <c r="B683" s="11"/>
      <c r="J683" s="11"/>
    </row>
    <row r="684">
      <c r="B684" s="11"/>
      <c r="J684" s="11"/>
    </row>
    <row r="685">
      <c r="B685" s="11"/>
      <c r="J685" s="11"/>
    </row>
    <row r="686">
      <c r="B686" s="11"/>
      <c r="J686" s="11"/>
    </row>
    <row r="687">
      <c r="B687" s="11"/>
      <c r="J687" s="11"/>
    </row>
    <row r="688">
      <c r="B688" s="11"/>
      <c r="J688" s="11"/>
    </row>
    <row r="689">
      <c r="B689" s="11"/>
      <c r="J689" s="11"/>
    </row>
    <row r="690">
      <c r="B690" s="11"/>
      <c r="J690" s="11"/>
    </row>
    <row r="691">
      <c r="B691" s="11"/>
      <c r="J691" s="11"/>
    </row>
    <row r="692">
      <c r="B692" s="11"/>
      <c r="J692" s="11"/>
    </row>
    <row r="693">
      <c r="B693" s="11"/>
      <c r="J693" s="11"/>
    </row>
    <row r="694">
      <c r="B694" s="11"/>
      <c r="J694" s="11"/>
    </row>
    <row r="695">
      <c r="B695" s="11"/>
      <c r="J695" s="11"/>
    </row>
    <row r="696">
      <c r="B696" s="11"/>
      <c r="J696" s="11"/>
    </row>
    <row r="697">
      <c r="B697" s="11"/>
      <c r="J697" s="11"/>
    </row>
    <row r="698">
      <c r="B698" s="11"/>
      <c r="J698" s="11"/>
    </row>
    <row r="699">
      <c r="B699" s="11"/>
      <c r="J699" s="11"/>
    </row>
    <row r="700">
      <c r="B700" s="11"/>
      <c r="J700" s="11"/>
    </row>
    <row r="701">
      <c r="B701" s="11"/>
      <c r="J701" s="11"/>
    </row>
    <row r="702">
      <c r="B702" s="11"/>
      <c r="J702" s="11"/>
    </row>
    <row r="703">
      <c r="B703" s="11"/>
      <c r="J703" s="11"/>
    </row>
    <row r="704">
      <c r="B704" s="11"/>
      <c r="J704" s="11"/>
    </row>
    <row r="705">
      <c r="B705" s="11"/>
      <c r="J705" s="11"/>
    </row>
    <row r="706">
      <c r="B706" s="11"/>
      <c r="J706" s="11"/>
    </row>
    <row r="707">
      <c r="B707" s="11"/>
      <c r="J707" s="11"/>
    </row>
    <row r="708">
      <c r="B708" s="11"/>
      <c r="J708" s="11"/>
    </row>
    <row r="709">
      <c r="B709" s="11"/>
      <c r="J709" s="11"/>
    </row>
    <row r="710">
      <c r="B710" s="11"/>
      <c r="J710" s="11"/>
    </row>
    <row r="711">
      <c r="B711" s="11"/>
      <c r="J711" s="11"/>
    </row>
    <row r="712">
      <c r="B712" s="11"/>
      <c r="J712" s="11"/>
    </row>
    <row r="713">
      <c r="B713" s="11"/>
      <c r="J713" s="11"/>
    </row>
    <row r="714">
      <c r="B714" s="11"/>
      <c r="J714" s="11"/>
    </row>
    <row r="715">
      <c r="B715" s="11"/>
      <c r="J715" s="11"/>
    </row>
    <row r="716">
      <c r="B716" s="11"/>
      <c r="J716" s="11"/>
    </row>
    <row r="717">
      <c r="B717" s="11"/>
      <c r="J717" s="11"/>
    </row>
    <row r="718">
      <c r="B718" s="11"/>
      <c r="J718" s="11"/>
    </row>
    <row r="719">
      <c r="B719" s="11"/>
      <c r="J719" s="11"/>
    </row>
    <row r="720">
      <c r="B720" s="11"/>
      <c r="J720" s="11"/>
    </row>
    <row r="721">
      <c r="B721" s="11"/>
      <c r="J721" s="11"/>
    </row>
    <row r="722">
      <c r="B722" s="11"/>
      <c r="J722" s="11"/>
    </row>
    <row r="723">
      <c r="B723" s="11"/>
      <c r="J723" s="11"/>
    </row>
    <row r="724">
      <c r="B724" s="11"/>
      <c r="J724" s="11"/>
    </row>
    <row r="725">
      <c r="B725" s="11"/>
      <c r="J725" s="11"/>
    </row>
    <row r="726">
      <c r="B726" s="11"/>
      <c r="J726" s="11"/>
    </row>
    <row r="727">
      <c r="B727" s="11"/>
      <c r="J727" s="11"/>
    </row>
    <row r="728">
      <c r="B728" s="11"/>
      <c r="J728" s="11"/>
    </row>
    <row r="729">
      <c r="B729" s="11"/>
      <c r="J729" s="11"/>
    </row>
    <row r="730">
      <c r="B730" s="11"/>
      <c r="J730" s="11"/>
    </row>
    <row r="731">
      <c r="B731" s="11"/>
      <c r="J731" s="11"/>
    </row>
    <row r="732">
      <c r="B732" s="11"/>
      <c r="J732" s="11"/>
    </row>
    <row r="733">
      <c r="B733" s="11"/>
      <c r="J733" s="11"/>
    </row>
    <row r="734">
      <c r="B734" s="11"/>
      <c r="J734" s="11"/>
    </row>
    <row r="735">
      <c r="B735" s="11"/>
      <c r="J735" s="11"/>
    </row>
    <row r="736">
      <c r="B736" s="11"/>
      <c r="J736" s="11"/>
    </row>
    <row r="737">
      <c r="B737" s="11"/>
      <c r="J737" s="11"/>
    </row>
    <row r="738">
      <c r="B738" s="11"/>
      <c r="J738" s="11"/>
    </row>
    <row r="739">
      <c r="B739" s="11"/>
      <c r="J739" s="11"/>
    </row>
    <row r="740">
      <c r="B740" s="11"/>
      <c r="J740" s="11"/>
    </row>
    <row r="741">
      <c r="B741" s="11"/>
      <c r="J741" s="11"/>
    </row>
    <row r="742">
      <c r="B742" s="11"/>
      <c r="J742" s="11"/>
    </row>
    <row r="743">
      <c r="B743" s="11"/>
      <c r="J743" s="11"/>
    </row>
    <row r="744">
      <c r="B744" s="11"/>
      <c r="J744" s="11"/>
    </row>
    <row r="745">
      <c r="B745" s="11"/>
      <c r="J745" s="11"/>
    </row>
    <row r="746">
      <c r="B746" s="11"/>
      <c r="J746" s="11"/>
    </row>
    <row r="747">
      <c r="B747" s="11"/>
      <c r="J747" s="11"/>
    </row>
    <row r="748">
      <c r="B748" s="11"/>
      <c r="J748" s="11"/>
    </row>
    <row r="749">
      <c r="B749" s="11"/>
      <c r="J749" s="11"/>
    </row>
    <row r="750">
      <c r="B750" s="11"/>
      <c r="J750" s="11"/>
    </row>
    <row r="751">
      <c r="B751" s="11"/>
      <c r="J751" s="11"/>
    </row>
    <row r="752">
      <c r="B752" s="11"/>
      <c r="J752" s="11"/>
    </row>
    <row r="753">
      <c r="B753" s="11"/>
      <c r="J753" s="11"/>
    </row>
    <row r="754">
      <c r="B754" s="11"/>
      <c r="J754" s="11"/>
    </row>
    <row r="755">
      <c r="B755" s="11"/>
      <c r="J755" s="11"/>
    </row>
    <row r="756">
      <c r="B756" s="11"/>
      <c r="J756" s="11"/>
    </row>
    <row r="757">
      <c r="B757" s="11"/>
      <c r="J757" s="11"/>
    </row>
    <row r="758">
      <c r="B758" s="11"/>
      <c r="J758" s="11"/>
    </row>
    <row r="759">
      <c r="B759" s="11"/>
      <c r="J759" s="11"/>
    </row>
    <row r="760">
      <c r="B760" s="11"/>
      <c r="J760" s="11"/>
    </row>
    <row r="761">
      <c r="B761" s="11"/>
      <c r="J761" s="11"/>
    </row>
    <row r="762">
      <c r="B762" s="11"/>
      <c r="J762" s="11"/>
    </row>
    <row r="763">
      <c r="B763" s="11"/>
      <c r="J763" s="11"/>
    </row>
    <row r="764">
      <c r="B764" s="11"/>
      <c r="J764" s="11"/>
    </row>
    <row r="765">
      <c r="B765" s="11"/>
      <c r="J765" s="11"/>
    </row>
    <row r="766">
      <c r="B766" s="11"/>
      <c r="J766" s="11"/>
    </row>
    <row r="767">
      <c r="B767" s="11"/>
      <c r="J767" s="11"/>
    </row>
    <row r="768">
      <c r="B768" s="11"/>
      <c r="J768" s="11"/>
    </row>
    <row r="769">
      <c r="B769" s="11"/>
      <c r="J769" s="11"/>
    </row>
    <row r="770">
      <c r="B770" s="11"/>
      <c r="J770" s="11"/>
    </row>
    <row r="771">
      <c r="B771" s="11"/>
      <c r="J771" s="11"/>
    </row>
    <row r="772">
      <c r="B772" s="11"/>
      <c r="J772" s="11"/>
    </row>
    <row r="773">
      <c r="B773" s="11"/>
      <c r="J773" s="11"/>
    </row>
    <row r="774">
      <c r="B774" s="11"/>
      <c r="J774" s="11"/>
    </row>
    <row r="775">
      <c r="B775" s="11"/>
      <c r="J775" s="11"/>
    </row>
    <row r="776">
      <c r="B776" s="11"/>
      <c r="J776" s="11"/>
    </row>
    <row r="777">
      <c r="B777" s="11"/>
      <c r="J777" s="11"/>
    </row>
    <row r="778">
      <c r="B778" s="11"/>
      <c r="J778" s="11"/>
    </row>
    <row r="779">
      <c r="B779" s="11"/>
      <c r="J779" s="11"/>
    </row>
    <row r="780">
      <c r="B780" s="11"/>
      <c r="J780" s="11"/>
    </row>
    <row r="781">
      <c r="B781" s="11"/>
      <c r="J781" s="11"/>
    </row>
    <row r="782">
      <c r="B782" s="11"/>
      <c r="J782" s="11"/>
    </row>
    <row r="783">
      <c r="B783" s="11"/>
      <c r="J783" s="11"/>
    </row>
    <row r="784">
      <c r="B784" s="11"/>
      <c r="J784" s="11"/>
    </row>
    <row r="785">
      <c r="B785" s="11"/>
      <c r="J785" s="11"/>
    </row>
    <row r="786">
      <c r="B786" s="11"/>
      <c r="J786" s="11"/>
    </row>
    <row r="787">
      <c r="B787" s="11"/>
      <c r="J787" s="11"/>
    </row>
    <row r="788">
      <c r="B788" s="11"/>
      <c r="J788" s="11"/>
    </row>
    <row r="789">
      <c r="B789" s="11"/>
      <c r="J789" s="11"/>
    </row>
    <row r="790">
      <c r="B790" s="11"/>
      <c r="J790" s="11"/>
    </row>
    <row r="791">
      <c r="B791" s="11"/>
      <c r="J791" s="11"/>
    </row>
    <row r="792">
      <c r="B792" s="11"/>
      <c r="J792" s="11"/>
    </row>
    <row r="793">
      <c r="B793" s="11"/>
      <c r="J793" s="11"/>
    </row>
    <row r="794">
      <c r="B794" s="11"/>
      <c r="J794" s="11"/>
    </row>
    <row r="795">
      <c r="B795" s="11"/>
      <c r="J795" s="11"/>
    </row>
    <row r="796">
      <c r="B796" s="11"/>
      <c r="J796" s="11"/>
    </row>
    <row r="797">
      <c r="B797" s="11"/>
      <c r="J797" s="11"/>
    </row>
    <row r="798">
      <c r="B798" s="11"/>
      <c r="J798" s="11"/>
    </row>
    <row r="799">
      <c r="B799" s="11"/>
      <c r="J799" s="11"/>
    </row>
    <row r="800">
      <c r="B800" s="11"/>
      <c r="J800" s="11"/>
    </row>
    <row r="801">
      <c r="B801" s="11"/>
      <c r="J801" s="11"/>
    </row>
    <row r="802">
      <c r="B802" s="11"/>
      <c r="J802" s="11"/>
    </row>
    <row r="803">
      <c r="B803" s="11"/>
      <c r="J803" s="11"/>
    </row>
    <row r="804">
      <c r="B804" s="11"/>
      <c r="J804" s="11"/>
    </row>
    <row r="805">
      <c r="B805" s="11"/>
      <c r="J805" s="11"/>
    </row>
    <row r="806">
      <c r="B806" s="11"/>
      <c r="J806" s="11"/>
    </row>
    <row r="807">
      <c r="B807" s="11"/>
      <c r="J807" s="11"/>
    </row>
    <row r="808">
      <c r="B808" s="11"/>
      <c r="J808" s="11"/>
    </row>
    <row r="809">
      <c r="B809" s="11"/>
      <c r="J809" s="11"/>
    </row>
    <row r="810">
      <c r="B810" s="11"/>
      <c r="J810" s="11"/>
    </row>
    <row r="811">
      <c r="B811" s="11"/>
      <c r="J811" s="11"/>
    </row>
    <row r="812">
      <c r="B812" s="11"/>
      <c r="J812" s="11"/>
    </row>
    <row r="813">
      <c r="B813" s="11"/>
      <c r="J813" s="11"/>
    </row>
    <row r="814">
      <c r="B814" s="11"/>
      <c r="J814" s="11"/>
    </row>
    <row r="815">
      <c r="B815" s="11"/>
      <c r="J815" s="11"/>
    </row>
    <row r="816">
      <c r="B816" s="11"/>
      <c r="J816" s="11"/>
    </row>
    <row r="817">
      <c r="B817" s="11"/>
      <c r="J817" s="11"/>
    </row>
    <row r="818">
      <c r="B818" s="11"/>
      <c r="J818" s="11"/>
    </row>
    <row r="819">
      <c r="B819" s="11"/>
      <c r="J819" s="11"/>
    </row>
    <row r="820">
      <c r="B820" s="11"/>
      <c r="J820" s="11"/>
    </row>
    <row r="821">
      <c r="B821" s="11"/>
      <c r="J821" s="11"/>
    </row>
    <row r="822">
      <c r="B822" s="11"/>
      <c r="J822" s="11"/>
    </row>
    <row r="823">
      <c r="B823" s="11"/>
      <c r="J823" s="11"/>
    </row>
    <row r="824">
      <c r="B824" s="11"/>
      <c r="J824" s="11"/>
    </row>
    <row r="825">
      <c r="B825" s="11"/>
      <c r="J825" s="11"/>
    </row>
    <row r="826">
      <c r="B826" s="11"/>
      <c r="J826" s="11"/>
    </row>
    <row r="827">
      <c r="B827" s="11"/>
      <c r="J827" s="11"/>
    </row>
    <row r="828">
      <c r="B828" s="11"/>
      <c r="J828" s="11"/>
    </row>
    <row r="829">
      <c r="B829" s="11"/>
      <c r="J829" s="11"/>
    </row>
    <row r="830">
      <c r="B830" s="11"/>
      <c r="J830" s="11"/>
    </row>
    <row r="831">
      <c r="B831" s="11"/>
      <c r="J831" s="11"/>
    </row>
    <row r="832">
      <c r="B832" s="11"/>
      <c r="J832" s="11"/>
    </row>
    <row r="833">
      <c r="B833" s="11"/>
      <c r="J833" s="11"/>
    </row>
    <row r="834">
      <c r="B834" s="11"/>
      <c r="J834" s="11"/>
    </row>
    <row r="835">
      <c r="B835" s="11"/>
      <c r="J835" s="11"/>
    </row>
    <row r="836">
      <c r="B836" s="11"/>
      <c r="J836" s="11"/>
    </row>
    <row r="837">
      <c r="B837" s="11"/>
      <c r="J837" s="11"/>
    </row>
    <row r="838">
      <c r="B838" s="11"/>
      <c r="J838" s="11"/>
    </row>
    <row r="839">
      <c r="B839" s="11"/>
      <c r="J839" s="11"/>
    </row>
    <row r="840">
      <c r="B840" s="11"/>
      <c r="J840" s="11"/>
    </row>
    <row r="841">
      <c r="B841" s="11"/>
      <c r="J841" s="11"/>
    </row>
    <row r="842">
      <c r="B842" s="11"/>
      <c r="J842" s="11"/>
    </row>
    <row r="843">
      <c r="B843" s="11"/>
      <c r="J843" s="11"/>
    </row>
    <row r="844">
      <c r="B844" s="11"/>
      <c r="J844" s="11"/>
    </row>
    <row r="845">
      <c r="B845" s="11"/>
      <c r="J845" s="11"/>
    </row>
    <row r="846">
      <c r="B846" s="11"/>
      <c r="J846" s="11"/>
    </row>
    <row r="847">
      <c r="B847" s="11"/>
      <c r="J847" s="11"/>
    </row>
    <row r="848">
      <c r="B848" s="11"/>
      <c r="J848" s="11"/>
    </row>
    <row r="849">
      <c r="B849" s="11"/>
      <c r="J849" s="11"/>
    </row>
    <row r="850">
      <c r="B850" s="11"/>
      <c r="J850" s="11"/>
    </row>
    <row r="851">
      <c r="B851" s="11"/>
      <c r="J851" s="11"/>
    </row>
    <row r="852">
      <c r="B852" s="11"/>
      <c r="J852" s="11"/>
    </row>
    <row r="853">
      <c r="B853" s="11"/>
      <c r="J853" s="11"/>
    </row>
    <row r="854">
      <c r="B854" s="11"/>
      <c r="J854" s="11"/>
    </row>
    <row r="855">
      <c r="B855" s="11"/>
      <c r="J855" s="11"/>
    </row>
    <row r="856">
      <c r="B856" s="11"/>
      <c r="J856" s="11"/>
    </row>
    <row r="857">
      <c r="B857" s="11"/>
      <c r="J857" s="11"/>
    </row>
    <row r="858">
      <c r="B858" s="11"/>
      <c r="J858" s="11"/>
    </row>
    <row r="859">
      <c r="B859" s="11"/>
      <c r="J859" s="11"/>
    </row>
    <row r="860">
      <c r="B860" s="11"/>
      <c r="J860" s="11"/>
    </row>
    <row r="861">
      <c r="B861" s="11"/>
      <c r="J861" s="11"/>
    </row>
    <row r="862">
      <c r="B862" s="11"/>
      <c r="J862" s="11"/>
    </row>
    <row r="863">
      <c r="B863" s="11"/>
      <c r="J863" s="11"/>
    </row>
    <row r="864">
      <c r="B864" s="11"/>
      <c r="J864" s="11"/>
    </row>
    <row r="865">
      <c r="B865" s="11"/>
      <c r="J865" s="11"/>
    </row>
    <row r="866">
      <c r="B866" s="11"/>
      <c r="J866" s="11"/>
    </row>
    <row r="867">
      <c r="B867" s="11"/>
      <c r="J867" s="11"/>
    </row>
    <row r="868">
      <c r="B868" s="11"/>
      <c r="J868" s="11"/>
    </row>
    <row r="869">
      <c r="B869" s="11"/>
      <c r="J869" s="11"/>
    </row>
    <row r="870">
      <c r="B870" s="11"/>
      <c r="J870" s="11"/>
    </row>
    <row r="871">
      <c r="B871" s="11"/>
      <c r="J871" s="11"/>
    </row>
    <row r="872">
      <c r="B872" s="11"/>
      <c r="J872" s="11"/>
    </row>
    <row r="873">
      <c r="B873" s="11"/>
      <c r="J873" s="11"/>
    </row>
    <row r="874">
      <c r="B874" s="11"/>
      <c r="J874" s="11"/>
    </row>
    <row r="875">
      <c r="B875" s="11"/>
      <c r="J875" s="11"/>
    </row>
    <row r="876">
      <c r="B876" s="11"/>
      <c r="J876" s="11"/>
    </row>
    <row r="877">
      <c r="B877" s="11"/>
      <c r="J877" s="11"/>
    </row>
    <row r="878">
      <c r="B878" s="11"/>
      <c r="J878" s="11"/>
    </row>
    <row r="879">
      <c r="B879" s="11"/>
      <c r="J879" s="11"/>
    </row>
    <row r="880">
      <c r="B880" s="11"/>
      <c r="J880" s="11"/>
    </row>
    <row r="881">
      <c r="B881" s="11"/>
      <c r="J881" s="11"/>
    </row>
    <row r="882">
      <c r="B882" s="11"/>
      <c r="J882" s="11"/>
    </row>
    <row r="883">
      <c r="B883" s="11"/>
      <c r="J883" s="11"/>
    </row>
    <row r="884">
      <c r="B884" s="11"/>
      <c r="J884" s="11"/>
    </row>
    <row r="885">
      <c r="B885" s="11"/>
      <c r="J885" s="11"/>
    </row>
    <row r="886">
      <c r="B886" s="11"/>
      <c r="J886" s="11"/>
    </row>
    <row r="887">
      <c r="B887" s="11"/>
      <c r="J887" s="11"/>
    </row>
    <row r="888">
      <c r="B888" s="11"/>
      <c r="J888" s="11"/>
    </row>
    <row r="889">
      <c r="B889" s="11"/>
      <c r="J889" s="11"/>
    </row>
    <row r="890">
      <c r="B890" s="11"/>
      <c r="J890" s="11"/>
    </row>
    <row r="891">
      <c r="B891" s="11"/>
      <c r="J891" s="11"/>
    </row>
    <row r="892">
      <c r="B892" s="11"/>
      <c r="J892" s="11"/>
    </row>
    <row r="893">
      <c r="B893" s="11"/>
      <c r="J893" s="11"/>
    </row>
    <row r="894">
      <c r="B894" s="11"/>
      <c r="J894" s="11"/>
    </row>
    <row r="895">
      <c r="B895" s="11"/>
      <c r="J895" s="11"/>
    </row>
    <row r="896">
      <c r="B896" s="11"/>
      <c r="J896" s="11"/>
    </row>
    <row r="897">
      <c r="B897" s="11"/>
      <c r="J897" s="11"/>
    </row>
    <row r="898">
      <c r="B898" s="11"/>
      <c r="J898" s="11"/>
    </row>
    <row r="899">
      <c r="B899" s="11"/>
      <c r="J899" s="11"/>
    </row>
    <row r="900">
      <c r="B900" s="11"/>
      <c r="J900" s="11"/>
    </row>
    <row r="901">
      <c r="B901" s="11"/>
      <c r="J901" s="11"/>
    </row>
    <row r="902">
      <c r="B902" s="11"/>
      <c r="J902" s="11"/>
    </row>
    <row r="903">
      <c r="B903" s="11"/>
      <c r="J903" s="11"/>
    </row>
    <row r="904">
      <c r="B904" s="11"/>
      <c r="J904" s="11"/>
    </row>
    <row r="905">
      <c r="B905" s="11"/>
      <c r="J905" s="11"/>
    </row>
    <row r="906">
      <c r="B906" s="11"/>
      <c r="J906" s="11"/>
    </row>
    <row r="907">
      <c r="B907" s="11"/>
      <c r="J907" s="11"/>
    </row>
    <row r="908">
      <c r="B908" s="11"/>
      <c r="J908" s="11"/>
    </row>
    <row r="909">
      <c r="B909" s="11"/>
      <c r="J909" s="11"/>
    </row>
    <row r="910">
      <c r="B910" s="11"/>
      <c r="J910" s="11"/>
    </row>
    <row r="911">
      <c r="B911" s="11"/>
      <c r="J911" s="11"/>
    </row>
    <row r="912">
      <c r="B912" s="11"/>
      <c r="J912" s="11"/>
    </row>
    <row r="913">
      <c r="B913" s="11"/>
      <c r="J913" s="11"/>
    </row>
    <row r="914">
      <c r="B914" s="11"/>
      <c r="J914" s="11"/>
    </row>
    <row r="915">
      <c r="B915" s="11"/>
      <c r="J915" s="11"/>
    </row>
    <row r="916">
      <c r="B916" s="11"/>
      <c r="J916" s="11"/>
    </row>
    <row r="917">
      <c r="B917" s="11"/>
      <c r="J917" s="11"/>
    </row>
    <row r="918">
      <c r="B918" s="11"/>
      <c r="J918" s="11"/>
    </row>
    <row r="919">
      <c r="B919" s="11"/>
      <c r="J919" s="11"/>
    </row>
    <row r="920">
      <c r="B920" s="11"/>
      <c r="J920" s="11"/>
    </row>
    <row r="921">
      <c r="B921" s="11"/>
      <c r="J921" s="11"/>
    </row>
    <row r="922">
      <c r="B922" s="11"/>
      <c r="J922" s="11"/>
    </row>
    <row r="923">
      <c r="B923" s="11"/>
      <c r="J923" s="11"/>
    </row>
    <row r="924">
      <c r="B924" s="11"/>
      <c r="J924" s="11"/>
    </row>
    <row r="925">
      <c r="B925" s="11"/>
      <c r="J925" s="11"/>
    </row>
    <row r="926">
      <c r="B926" s="11"/>
      <c r="J926" s="11"/>
    </row>
    <row r="927">
      <c r="B927" s="11"/>
      <c r="J927" s="11"/>
    </row>
    <row r="928">
      <c r="B928" s="11"/>
      <c r="J928" s="11"/>
    </row>
    <row r="929">
      <c r="B929" s="11"/>
      <c r="J929" s="11"/>
    </row>
    <row r="930">
      <c r="B930" s="11"/>
      <c r="J930" s="11"/>
    </row>
    <row r="931">
      <c r="B931" s="11"/>
      <c r="J931" s="11"/>
    </row>
    <row r="932">
      <c r="B932" s="11"/>
      <c r="J932" s="11"/>
    </row>
    <row r="933">
      <c r="B933" s="11"/>
      <c r="J933" s="11"/>
    </row>
    <row r="934">
      <c r="B934" s="11"/>
      <c r="J934" s="11"/>
    </row>
    <row r="935">
      <c r="B935" s="11"/>
      <c r="J935" s="11"/>
    </row>
    <row r="936">
      <c r="B936" s="11"/>
      <c r="J936" s="11"/>
    </row>
    <row r="937">
      <c r="B937" s="11"/>
      <c r="J937" s="11"/>
    </row>
    <row r="938">
      <c r="B938" s="11"/>
      <c r="J938" s="11"/>
    </row>
    <row r="939">
      <c r="B939" s="11"/>
      <c r="J939" s="11"/>
    </row>
    <row r="940">
      <c r="B940" s="11"/>
      <c r="J940" s="11"/>
    </row>
    <row r="941">
      <c r="B941" s="11"/>
      <c r="J941" s="11"/>
    </row>
    <row r="942">
      <c r="B942" s="11"/>
      <c r="J942" s="11"/>
    </row>
    <row r="943">
      <c r="B943" s="11"/>
      <c r="J943" s="11"/>
    </row>
    <row r="944">
      <c r="B944" s="11"/>
      <c r="J944" s="11"/>
    </row>
    <row r="945">
      <c r="B945" s="11"/>
      <c r="J945" s="11"/>
    </row>
    <row r="946">
      <c r="B946" s="11"/>
      <c r="J946" s="11"/>
    </row>
    <row r="947">
      <c r="B947" s="11"/>
      <c r="J947" s="11"/>
    </row>
    <row r="948">
      <c r="B948" s="11"/>
      <c r="J948" s="11"/>
    </row>
    <row r="949">
      <c r="B949" s="11"/>
      <c r="J949" s="11"/>
    </row>
    <row r="950">
      <c r="B950" s="11"/>
      <c r="J950" s="11"/>
    </row>
    <row r="951">
      <c r="B951" s="11"/>
      <c r="J951" s="11"/>
    </row>
    <row r="952">
      <c r="B952" s="11"/>
      <c r="J952" s="11"/>
    </row>
    <row r="953">
      <c r="B953" s="11"/>
      <c r="J953" s="11"/>
    </row>
    <row r="954">
      <c r="B954" s="11"/>
      <c r="J954" s="11"/>
    </row>
    <row r="955">
      <c r="B955" s="11"/>
      <c r="J955" s="11"/>
    </row>
    <row r="956">
      <c r="B956" s="11"/>
      <c r="J956" s="11"/>
    </row>
    <row r="957">
      <c r="B957" s="11"/>
      <c r="J957" s="11"/>
    </row>
    <row r="958">
      <c r="B958" s="11"/>
      <c r="J958" s="11"/>
    </row>
    <row r="959">
      <c r="B959" s="11"/>
      <c r="J959" s="11"/>
    </row>
    <row r="960">
      <c r="B960" s="11"/>
      <c r="J960" s="11"/>
    </row>
    <row r="961">
      <c r="B961" s="11"/>
      <c r="J961" s="11"/>
    </row>
    <row r="962">
      <c r="B962" s="11"/>
      <c r="J962" s="11"/>
    </row>
    <row r="963">
      <c r="B963" s="11"/>
      <c r="J963" s="11"/>
    </row>
    <row r="964">
      <c r="B964" s="11"/>
      <c r="J964" s="11"/>
    </row>
    <row r="965">
      <c r="B965" s="11"/>
      <c r="J965" s="11"/>
    </row>
    <row r="966">
      <c r="B966" s="11"/>
      <c r="J966" s="11"/>
    </row>
    <row r="967">
      <c r="B967" s="11"/>
      <c r="J967" s="11"/>
    </row>
    <row r="968">
      <c r="B968" s="11"/>
      <c r="J968" s="11"/>
    </row>
    <row r="969">
      <c r="B969" s="11"/>
      <c r="J969" s="11"/>
    </row>
    <row r="970">
      <c r="B970" s="11"/>
      <c r="J970" s="11"/>
    </row>
    <row r="971">
      <c r="B971" s="11"/>
      <c r="J971" s="11"/>
    </row>
    <row r="972">
      <c r="B972" s="11"/>
      <c r="J972" s="11"/>
    </row>
    <row r="973">
      <c r="B973" s="11"/>
      <c r="J973" s="11"/>
    </row>
    <row r="974">
      <c r="B974" s="11"/>
      <c r="J974" s="11"/>
    </row>
    <row r="975">
      <c r="B975" s="11"/>
      <c r="J975" s="11"/>
    </row>
    <row r="976">
      <c r="B976" s="11"/>
      <c r="J976" s="11"/>
    </row>
    <row r="977">
      <c r="B977" s="11"/>
      <c r="J977" s="11"/>
    </row>
    <row r="978">
      <c r="B978" s="11"/>
      <c r="J978" s="11"/>
    </row>
    <row r="979">
      <c r="B979" s="11"/>
      <c r="J979" s="11"/>
    </row>
    <row r="980">
      <c r="B980" s="11"/>
      <c r="J980" s="11"/>
    </row>
    <row r="981">
      <c r="B981" s="11"/>
      <c r="J981" s="11"/>
    </row>
    <row r="982">
      <c r="B982" s="11"/>
      <c r="J982" s="11"/>
    </row>
    <row r="983">
      <c r="B983" s="11"/>
      <c r="J983" s="11"/>
    </row>
    <row r="984">
      <c r="B984" s="11"/>
      <c r="J984" s="11"/>
    </row>
    <row r="985">
      <c r="B985" s="11"/>
      <c r="J985" s="11"/>
    </row>
    <row r="986">
      <c r="B986" s="11"/>
      <c r="J986" s="11"/>
    </row>
    <row r="987">
      <c r="B987" s="11"/>
      <c r="J987" s="11"/>
    </row>
    <row r="988">
      <c r="B988" s="11"/>
      <c r="J988" s="11"/>
    </row>
    <row r="989">
      <c r="B989" s="11"/>
      <c r="J989" s="11"/>
    </row>
    <row r="990">
      <c r="B990" s="11"/>
      <c r="J990" s="11"/>
    </row>
    <row r="991">
      <c r="B991" s="11"/>
      <c r="J991" s="11"/>
    </row>
    <row r="992">
      <c r="B992" s="11"/>
      <c r="J992" s="11"/>
    </row>
    <row r="993">
      <c r="B993" s="11"/>
      <c r="J993" s="11"/>
    </row>
    <row r="994">
      <c r="B994" s="11"/>
      <c r="J994" s="11"/>
    </row>
    <row r="995">
      <c r="B995" s="11"/>
      <c r="J995" s="11"/>
    </row>
    <row r="996">
      <c r="B996" s="11"/>
      <c r="J996" s="11"/>
    </row>
    <row r="997">
      <c r="B997" s="11"/>
      <c r="J997" s="11"/>
    </row>
    <row r="998">
      <c r="B998" s="11"/>
      <c r="J998" s="11"/>
    </row>
    <row r="999">
      <c r="B999" s="11"/>
      <c r="J999" s="11"/>
    </row>
    <row r="1000">
      <c r="B1000" s="11"/>
      <c r="J1000" s="11"/>
    </row>
  </sheetData>
  <mergeCells count="1">
    <mergeCell ref="A2:A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2.22"/>
    <col customWidth="1" min="4" max="4" width="30.0"/>
    <col customWidth="1" min="5" max="5" width="22.22"/>
    <col customWidth="1" min="6" max="6" width="23.56"/>
    <col customWidth="1" min="7" max="7" width="25.22"/>
    <col customWidth="1" min="8" max="9" width="24.44"/>
    <col customWidth="1" min="10" max="10" width="17.67"/>
    <col customWidth="1" min="11" max="11" width="43.11"/>
  </cols>
  <sheetData>
    <row r="1">
      <c r="A1" s="7" t="s">
        <v>0</v>
      </c>
      <c r="B1" s="8" t="s">
        <v>1</v>
      </c>
      <c r="C1" s="8" t="s">
        <v>2</v>
      </c>
      <c r="D1" s="8" t="s">
        <v>3</v>
      </c>
      <c r="E1" s="8" t="s">
        <v>4</v>
      </c>
      <c r="F1" s="8" t="s">
        <v>5</v>
      </c>
      <c r="G1" s="8" t="s">
        <v>6</v>
      </c>
      <c r="H1" s="7" t="s">
        <v>7</v>
      </c>
      <c r="I1" s="7" t="s">
        <v>8</v>
      </c>
      <c r="J1" s="7" t="s">
        <v>87</v>
      </c>
      <c r="K1" s="7" t="s">
        <v>9</v>
      </c>
      <c r="M1" s="9"/>
      <c r="N1" s="9"/>
      <c r="O1" s="9"/>
      <c r="P1" s="9"/>
      <c r="Q1" s="9"/>
      <c r="R1" s="9"/>
      <c r="S1" s="9"/>
      <c r="T1" s="9"/>
      <c r="U1" s="9"/>
      <c r="V1" s="9"/>
      <c r="W1" s="9"/>
      <c r="X1" s="9"/>
      <c r="Y1" s="9"/>
      <c r="Z1" s="9"/>
      <c r="AA1" s="9"/>
    </row>
    <row r="2">
      <c r="A2" s="21" t="s">
        <v>227</v>
      </c>
      <c r="B2" s="19">
        <v>1.0</v>
      </c>
      <c r="C2" s="5" t="s">
        <v>268</v>
      </c>
      <c r="D2" s="5" t="s">
        <v>269</v>
      </c>
      <c r="E2" s="5" t="s">
        <v>270</v>
      </c>
      <c r="F2" s="5" t="s">
        <v>271</v>
      </c>
      <c r="G2" s="5" t="s">
        <v>272</v>
      </c>
      <c r="H2" s="5" t="s">
        <v>273</v>
      </c>
      <c r="I2" s="5" t="s">
        <v>274</v>
      </c>
      <c r="J2" s="6" t="s">
        <v>96</v>
      </c>
      <c r="K2" s="5" t="s">
        <v>275</v>
      </c>
    </row>
    <row r="3">
      <c r="B3" s="19">
        <v>2.0</v>
      </c>
      <c r="C3" s="5" t="s">
        <v>276</v>
      </c>
      <c r="D3" s="5" t="s">
        <v>277</v>
      </c>
      <c r="E3" s="5" t="s">
        <v>278</v>
      </c>
      <c r="F3" s="5" t="s">
        <v>279</v>
      </c>
      <c r="G3" s="5" t="s">
        <v>280</v>
      </c>
      <c r="H3" s="5" t="s">
        <v>281</v>
      </c>
      <c r="I3" s="5" t="s">
        <v>282</v>
      </c>
      <c r="J3" s="6" t="s">
        <v>96</v>
      </c>
      <c r="K3" s="5" t="s">
        <v>283</v>
      </c>
    </row>
    <row r="4">
      <c r="B4" s="19">
        <v>3.0</v>
      </c>
      <c r="C4" s="5" t="s">
        <v>284</v>
      </c>
      <c r="D4" s="5" t="s">
        <v>285</v>
      </c>
      <c r="E4" s="5" t="s">
        <v>286</v>
      </c>
      <c r="F4" s="5" t="s">
        <v>287</v>
      </c>
      <c r="G4" s="5" t="s">
        <v>288</v>
      </c>
      <c r="H4" s="5" t="s">
        <v>289</v>
      </c>
      <c r="I4" s="5" t="s">
        <v>290</v>
      </c>
      <c r="J4" s="6" t="s">
        <v>96</v>
      </c>
      <c r="K4" s="5" t="s">
        <v>291</v>
      </c>
    </row>
    <row r="5">
      <c r="B5" s="19">
        <v>4.0</v>
      </c>
      <c r="C5" s="5" t="s">
        <v>292</v>
      </c>
      <c r="D5" s="5" t="s">
        <v>293</v>
      </c>
      <c r="E5" s="5" t="s">
        <v>294</v>
      </c>
      <c r="F5" s="5" t="s">
        <v>295</v>
      </c>
      <c r="G5" s="5" t="s">
        <v>296</v>
      </c>
      <c r="H5" s="5" t="s">
        <v>297</v>
      </c>
      <c r="I5" s="5" t="s">
        <v>298</v>
      </c>
      <c r="J5" s="6" t="s">
        <v>96</v>
      </c>
      <c r="K5" s="5" t="s">
        <v>299</v>
      </c>
    </row>
  </sheetData>
  <mergeCells count="1">
    <mergeCell ref="A2:A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11"/>
    <col customWidth="1" min="2" max="2" width="8.56"/>
    <col customWidth="1" min="3" max="3" width="21.89"/>
    <col customWidth="1" min="4" max="4" width="40.89"/>
    <col customWidth="1" min="5" max="5" width="26.89"/>
    <col customWidth="1" min="6" max="6" width="21.33"/>
    <col customWidth="1" min="7" max="7" width="36.0"/>
    <col customWidth="1" min="8" max="8" width="22.56"/>
    <col customWidth="1" min="9" max="9" width="32.56"/>
    <col customWidth="1" min="10" max="10" width="12.22"/>
    <col customWidth="1" min="11" max="11" width="47.56"/>
  </cols>
  <sheetData>
    <row r="1">
      <c r="A1" s="7" t="s">
        <v>0</v>
      </c>
      <c r="B1" s="8" t="s">
        <v>1</v>
      </c>
      <c r="C1" s="8" t="s">
        <v>2</v>
      </c>
      <c r="D1" s="8" t="s">
        <v>3</v>
      </c>
      <c r="E1" s="8" t="s">
        <v>4</v>
      </c>
      <c r="F1" s="8" t="s">
        <v>5</v>
      </c>
      <c r="G1" s="8" t="s">
        <v>6</v>
      </c>
      <c r="H1" s="7" t="s">
        <v>7</v>
      </c>
      <c r="I1" s="7" t="s">
        <v>8</v>
      </c>
      <c r="J1" s="7" t="s">
        <v>87</v>
      </c>
      <c r="K1" s="7" t="s">
        <v>9</v>
      </c>
      <c r="M1" s="9"/>
      <c r="N1" s="9"/>
      <c r="O1" s="9"/>
      <c r="P1" s="9"/>
      <c r="Q1" s="9"/>
      <c r="R1" s="9"/>
      <c r="S1" s="9"/>
      <c r="T1" s="9"/>
      <c r="U1" s="9"/>
      <c r="V1" s="9"/>
      <c r="W1" s="9"/>
      <c r="X1" s="9"/>
      <c r="Y1" s="9"/>
      <c r="Z1" s="9"/>
      <c r="AA1" s="9"/>
    </row>
    <row r="2">
      <c r="A2" s="20" t="s">
        <v>300</v>
      </c>
      <c r="B2" s="19">
        <v>1.0</v>
      </c>
      <c r="C2" s="5" t="s">
        <v>301</v>
      </c>
      <c r="D2" s="5" t="s">
        <v>302</v>
      </c>
      <c r="E2" s="5" t="s">
        <v>303</v>
      </c>
      <c r="F2" s="5" t="s">
        <v>304</v>
      </c>
      <c r="G2" s="5" t="s">
        <v>305</v>
      </c>
      <c r="H2" s="5" t="s">
        <v>306</v>
      </c>
      <c r="I2" s="5" t="s">
        <v>307</v>
      </c>
      <c r="J2" s="6" t="s">
        <v>96</v>
      </c>
      <c r="K2" s="5" t="s">
        <v>308</v>
      </c>
    </row>
    <row r="3">
      <c r="B3" s="19">
        <v>2.0</v>
      </c>
      <c r="C3" s="5" t="s">
        <v>309</v>
      </c>
      <c r="D3" s="5" t="s">
        <v>310</v>
      </c>
      <c r="E3" s="5" t="s">
        <v>311</v>
      </c>
      <c r="F3" s="5" t="s">
        <v>312</v>
      </c>
      <c r="G3" s="5" t="s">
        <v>313</v>
      </c>
      <c r="H3" s="5" t="s">
        <v>314</v>
      </c>
      <c r="I3" s="5" t="s">
        <v>315</v>
      </c>
      <c r="J3" s="6" t="s">
        <v>96</v>
      </c>
      <c r="K3" s="5" t="s">
        <v>316</v>
      </c>
    </row>
    <row r="4">
      <c r="B4" s="19">
        <v>3.0</v>
      </c>
      <c r="C4" s="5" t="s">
        <v>317</v>
      </c>
      <c r="D4" s="5" t="s">
        <v>318</v>
      </c>
      <c r="E4" s="5" t="s">
        <v>319</v>
      </c>
      <c r="F4" s="5" t="s">
        <v>320</v>
      </c>
      <c r="G4" s="5" t="s">
        <v>321</v>
      </c>
      <c r="H4" s="5" t="s">
        <v>322</v>
      </c>
      <c r="I4" s="5" t="s">
        <v>323</v>
      </c>
      <c r="J4" s="6" t="s">
        <v>96</v>
      </c>
      <c r="K4" s="5" t="s">
        <v>324</v>
      </c>
    </row>
    <row r="5">
      <c r="B5" s="19">
        <v>4.0</v>
      </c>
      <c r="C5" s="5" t="s">
        <v>325</v>
      </c>
      <c r="D5" s="5" t="s">
        <v>326</v>
      </c>
      <c r="E5" s="5" t="s">
        <v>327</v>
      </c>
      <c r="F5" s="5" t="s">
        <v>328</v>
      </c>
      <c r="G5" s="5" t="s">
        <v>329</v>
      </c>
      <c r="H5" s="5" t="s">
        <v>330</v>
      </c>
      <c r="I5" s="5" t="s">
        <v>331</v>
      </c>
      <c r="J5" s="6" t="s">
        <v>96</v>
      </c>
      <c r="K5" s="5" t="s">
        <v>332</v>
      </c>
    </row>
    <row r="6">
      <c r="B6" s="19">
        <v>5.0</v>
      </c>
      <c r="C6" s="5" t="s">
        <v>333</v>
      </c>
      <c r="D6" s="5" t="s">
        <v>334</v>
      </c>
      <c r="E6" s="5" t="s">
        <v>335</v>
      </c>
      <c r="F6" s="5" t="s">
        <v>336</v>
      </c>
      <c r="G6" s="5" t="s">
        <v>337</v>
      </c>
      <c r="H6" s="5" t="s">
        <v>338</v>
      </c>
      <c r="I6" s="5" t="s">
        <v>339</v>
      </c>
      <c r="J6" s="6" t="s">
        <v>96</v>
      </c>
      <c r="K6" s="5" t="s">
        <v>340</v>
      </c>
    </row>
  </sheetData>
  <mergeCells count="1">
    <mergeCell ref="A2:A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22"/>
    <col customWidth="1" min="2" max="2" width="7.78"/>
    <col customWidth="1" min="3" max="3" width="23.56"/>
    <col customWidth="1" min="4" max="4" width="31.0"/>
    <col customWidth="1" min="5" max="6" width="23.56"/>
    <col customWidth="1" min="7" max="7" width="28.78"/>
    <col customWidth="1" min="8" max="8" width="23.56"/>
    <col customWidth="1" min="9" max="9" width="33.11"/>
    <col customWidth="1" min="10" max="10" width="15.56"/>
    <col customWidth="1" min="11" max="11" width="47.11"/>
  </cols>
  <sheetData>
    <row r="1">
      <c r="A1" s="7" t="s">
        <v>0</v>
      </c>
      <c r="B1" s="8" t="s">
        <v>1</v>
      </c>
      <c r="C1" s="8" t="s">
        <v>2</v>
      </c>
      <c r="D1" s="8" t="s">
        <v>3</v>
      </c>
      <c r="E1" s="8" t="s">
        <v>4</v>
      </c>
      <c r="F1" s="8" t="s">
        <v>5</v>
      </c>
      <c r="G1" s="8" t="s">
        <v>6</v>
      </c>
      <c r="H1" s="7" t="s">
        <v>7</v>
      </c>
      <c r="I1" s="7" t="s">
        <v>8</v>
      </c>
      <c r="J1" s="7" t="s">
        <v>87</v>
      </c>
      <c r="K1" s="7" t="s">
        <v>9</v>
      </c>
      <c r="M1" s="9"/>
      <c r="N1" s="9"/>
      <c r="O1" s="9"/>
      <c r="P1" s="9"/>
      <c r="Q1" s="9"/>
      <c r="R1" s="9"/>
      <c r="S1" s="9"/>
      <c r="T1" s="9"/>
      <c r="U1" s="9"/>
      <c r="V1" s="9"/>
      <c r="W1" s="9"/>
      <c r="X1" s="9"/>
      <c r="Y1" s="9"/>
      <c r="Z1" s="9"/>
      <c r="AA1" s="9"/>
    </row>
    <row r="2">
      <c r="A2" s="16" t="s">
        <v>341</v>
      </c>
      <c r="B2" s="19">
        <v>1.0</v>
      </c>
      <c r="C2" s="5" t="s">
        <v>342</v>
      </c>
      <c r="D2" s="5" t="s">
        <v>343</v>
      </c>
      <c r="E2" s="5" t="s">
        <v>344</v>
      </c>
      <c r="F2" s="5" t="s">
        <v>345</v>
      </c>
      <c r="G2" s="5" t="s">
        <v>346</v>
      </c>
      <c r="H2" s="5" t="s">
        <v>347</v>
      </c>
      <c r="I2" s="5" t="s">
        <v>348</v>
      </c>
      <c r="J2" s="6" t="s">
        <v>96</v>
      </c>
      <c r="K2" s="5" t="s">
        <v>349</v>
      </c>
    </row>
    <row r="3">
      <c r="B3" s="19">
        <v>2.0</v>
      </c>
      <c r="C3" s="5" t="s">
        <v>350</v>
      </c>
      <c r="D3" s="5" t="s">
        <v>351</v>
      </c>
      <c r="E3" s="5" t="s">
        <v>352</v>
      </c>
      <c r="F3" s="5" t="s">
        <v>353</v>
      </c>
      <c r="G3" s="5" t="s">
        <v>354</v>
      </c>
      <c r="H3" s="5" t="s">
        <v>355</v>
      </c>
      <c r="I3" s="5" t="s">
        <v>356</v>
      </c>
      <c r="J3" s="6" t="s">
        <v>96</v>
      </c>
      <c r="K3" s="5" t="s">
        <v>357</v>
      </c>
    </row>
    <row r="4">
      <c r="B4" s="19">
        <v>3.0</v>
      </c>
      <c r="C4" s="5" t="s">
        <v>358</v>
      </c>
      <c r="D4" s="5" t="s">
        <v>359</v>
      </c>
      <c r="E4" s="5" t="s">
        <v>360</v>
      </c>
      <c r="F4" s="5" t="s">
        <v>361</v>
      </c>
      <c r="G4" s="5" t="s">
        <v>362</v>
      </c>
      <c r="H4" s="5" t="s">
        <v>363</v>
      </c>
      <c r="I4" s="5" t="s">
        <v>364</v>
      </c>
      <c r="J4" s="6" t="s">
        <v>96</v>
      </c>
      <c r="K4" s="5" t="s">
        <v>365</v>
      </c>
    </row>
    <row r="5">
      <c r="B5" s="19">
        <v>4.0</v>
      </c>
      <c r="C5" s="5" t="s">
        <v>366</v>
      </c>
      <c r="D5" s="5" t="s">
        <v>367</v>
      </c>
      <c r="E5" s="5" t="s">
        <v>368</v>
      </c>
      <c r="F5" s="5" t="s">
        <v>369</v>
      </c>
      <c r="G5" s="5" t="s">
        <v>370</v>
      </c>
      <c r="H5" s="5" t="s">
        <v>371</v>
      </c>
      <c r="I5" s="5" t="s">
        <v>372</v>
      </c>
      <c r="J5" s="6" t="s">
        <v>96</v>
      </c>
      <c r="K5" s="5" t="s">
        <v>373</v>
      </c>
    </row>
    <row r="6">
      <c r="B6" s="19">
        <v>5.0</v>
      </c>
      <c r="C6" s="5" t="s">
        <v>374</v>
      </c>
      <c r="D6" s="5" t="s">
        <v>375</v>
      </c>
      <c r="E6" s="5" t="s">
        <v>376</v>
      </c>
      <c r="F6" s="5" t="s">
        <v>377</v>
      </c>
      <c r="G6" s="5" t="s">
        <v>378</v>
      </c>
      <c r="H6" s="5" t="s">
        <v>379</v>
      </c>
      <c r="I6" s="5" t="s">
        <v>380</v>
      </c>
      <c r="J6" s="6" t="s">
        <v>96</v>
      </c>
      <c r="K6" s="5" t="s">
        <v>381</v>
      </c>
    </row>
    <row r="7">
      <c r="B7" s="11"/>
      <c r="J7" s="14"/>
    </row>
    <row r="8">
      <c r="B8" s="11"/>
      <c r="J8" s="14"/>
    </row>
    <row r="9">
      <c r="B9" s="11"/>
      <c r="J9" s="14"/>
    </row>
    <row r="10">
      <c r="B10" s="11"/>
      <c r="J10" s="14"/>
    </row>
    <row r="11">
      <c r="B11" s="11"/>
      <c r="J11" s="14"/>
    </row>
    <row r="12">
      <c r="B12" s="11"/>
      <c r="J12" s="14"/>
    </row>
    <row r="13">
      <c r="B13" s="11"/>
      <c r="J13" s="14"/>
    </row>
    <row r="14">
      <c r="B14" s="11"/>
      <c r="J14" s="14"/>
    </row>
    <row r="15">
      <c r="B15" s="11"/>
      <c r="J15" s="14"/>
    </row>
    <row r="16">
      <c r="B16" s="11"/>
      <c r="J16" s="14"/>
    </row>
    <row r="17">
      <c r="B17" s="11"/>
      <c r="J17" s="14"/>
    </row>
    <row r="18">
      <c r="B18" s="11"/>
      <c r="J18" s="14"/>
    </row>
    <row r="19">
      <c r="B19" s="11"/>
      <c r="J19" s="14"/>
    </row>
    <row r="20">
      <c r="B20" s="11"/>
      <c r="J20" s="14"/>
    </row>
    <row r="21">
      <c r="B21" s="11"/>
      <c r="J21" s="14"/>
    </row>
    <row r="22">
      <c r="B22" s="11"/>
      <c r="J22" s="14"/>
    </row>
    <row r="23">
      <c r="B23" s="11"/>
      <c r="J23" s="14"/>
    </row>
    <row r="24">
      <c r="B24" s="11"/>
      <c r="J24" s="14"/>
    </row>
    <row r="25">
      <c r="B25" s="11"/>
      <c r="J25" s="14"/>
    </row>
    <row r="26">
      <c r="B26" s="11"/>
      <c r="J26" s="14"/>
    </row>
    <row r="27">
      <c r="B27" s="11"/>
      <c r="J27" s="14"/>
    </row>
    <row r="28">
      <c r="B28" s="11"/>
      <c r="J28" s="14"/>
    </row>
    <row r="29">
      <c r="B29" s="11"/>
      <c r="J29" s="14"/>
    </row>
    <row r="30">
      <c r="B30" s="11"/>
      <c r="J30" s="14"/>
    </row>
    <row r="31">
      <c r="B31" s="11"/>
      <c r="J31" s="14"/>
    </row>
    <row r="32">
      <c r="B32" s="11"/>
      <c r="J32" s="14"/>
    </row>
    <row r="33">
      <c r="B33" s="11"/>
      <c r="J33" s="14"/>
    </row>
    <row r="34">
      <c r="B34" s="11"/>
      <c r="J34" s="14"/>
    </row>
    <row r="35">
      <c r="B35" s="11"/>
      <c r="J35" s="14"/>
    </row>
    <row r="36">
      <c r="B36" s="11"/>
      <c r="J36" s="14"/>
    </row>
    <row r="37">
      <c r="B37" s="11"/>
      <c r="J37" s="14"/>
    </row>
    <row r="38">
      <c r="B38" s="11"/>
      <c r="J38" s="14"/>
    </row>
    <row r="39">
      <c r="B39" s="11"/>
      <c r="J39" s="14"/>
    </row>
    <row r="40">
      <c r="B40" s="11"/>
      <c r="J40" s="14"/>
    </row>
    <row r="41">
      <c r="B41" s="11"/>
      <c r="J41" s="14"/>
    </row>
    <row r="42">
      <c r="B42" s="11"/>
      <c r="J42" s="14"/>
    </row>
    <row r="43">
      <c r="B43" s="11"/>
      <c r="J43" s="14"/>
    </row>
    <row r="44">
      <c r="B44" s="11"/>
      <c r="J44" s="14"/>
    </row>
    <row r="45">
      <c r="B45" s="11"/>
      <c r="J45" s="14"/>
    </row>
    <row r="46">
      <c r="B46" s="11"/>
      <c r="J46" s="14"/>
    </row>
    <row r="47">
      <c r="B47" s="11"/>
      <c r="J47" s="14"/>
    </row>
    <row r="48">
      <c r="B48" s="11"/>
      <c r="J48" s="14"/>
    </row>
    <row r="49">
      <c r="B49" s="11"/>
      <c r="J49" s="14"/>
    </row>
    <row r="50">
      <c r="B50" s="11"/>
      <c r="J50" s="14"/>
    </row>
    <row r="51">
      <c r="B51" s="11"/>
      <c r="J51" s="14"/>
    </row>
    <row r="52">
      <c r="B52" s="11"/>
      <c r="J52" s="14"/>
    </row>
    <row r="53">
      <c r="B53" s="11"/>
      <c r="J53" s="14"/>
    </row>
    <row r="54">
      <c r="B54" s="11"/>
      <c r="J54" s="14"/>
    </row>
    <row r="55">
      <c r="B55" s="11"/>
      <c r="J55" s="14"/>
    </row>
    <row r="56">
      <c r="B56" s="11"/>
      <c r="J56" s="14"/>
    </row>
    <row r="57">
      <c r="B57" s="11"/>
      <c r="J57" s="14"/>
    </row>
    <row r="58">
      <c r="B58" s="11"/>
      <c r="J58" s="14"/>
    </row>
    <row r="59">
      <c r="B59" s="11"/>
      <c r="J59" s="14"/>
    </row>
    <row r="60">
      <c r="B60" s="11"/>
      <c r="J60" s="14"/>
    </row>
    <row r="61">
      <c r="B61" s="11"/>
      <c r="J61" s="14"/>
    </row>
    <row r="62">
      <c r="B62" s="11"/>
      <c r="J62" s="14"/>
    </row>
    <row r="63">
      <c r="B63" s="11"/>
      <c r="J63" s="14"/>
    </row>
    <row r="64">
      <c r="B64" s="11"/>
      <c r="J64" s="14"/>
    </row>
    <row r="65">
      <c r="B65" s="11"/>
      <c r="J65" s="14"/>
    </row>
    <row r="66">
      <c r="B66" s="11"/>
      <c r="J66" s="14"/>
    </row>
    <row r="67">
      <c r="B67" s="11"/>
      <c r="J67" s="14"/>
    </row>
    <row r="68">
      <c r="B68" s="11"/>
      <c r="J68" s="14"/>
    </row>
    <row r="69">
      <c r="B69" s="11"/>
      <c r="J69" s="14"/>
    </row>
    <row r="70">
      <c r="B70" s="11"/>
      <c r="J70" s="14"/>
    </row>
    <row r="71">
      <c r="B71" s="11"/>
      <c r="J71" s="14"/>
    </row>
    <row r="72">
      <c r="B72" s="11"/>
      <c r="J72" s="14"/>
    </row>
    <row r="73">
      <c r="B73" s="11"/>
      <c r="J73" s="14"/>
    </row>
    <row r="74">
      <c r="B74" s="11"/>
      <c r="J74" s="14"/>
    </row>
    <row r="75">
      <c r="B75" s="11"/>
      <c r="J75" s="14"/>
    </row>
    <row r="76">
      <c r="B76" s="11"/>
      <c r="J76" s="14"/>
    </row>
    <row r="77">
      <c r="B77" s="11"/>
      <c r="J77" s="14"/>
    </row>
    <row r="78">
      <c r="B78" s="11"/>
      <c r="J78" s="14"/>
    </row>
    <row r="79">
      <c r="B79" s="11"/>
      <c r="J79" s="14"/>
    </row>
    <row r="80">
      <c r="B80" s="11"/>
      <c r="J80" s="14"/>
    </row>
    <row r="81">
      <c r="B81" s="11"/>
      <c r="J81" s="14"/>
    </row>
    <row r="82">
      <c r="B82" s="11"/>
      <c r="J82" s="14"/>
    </row>
    <row r="83">
      <c r="B83" s="11"/>
      <c r="J83" s="14"/>
    </row>
    <row r="84">
      <c r="B84" s="11"/>
      <c r="J84" s="14"/>
    </row>
    <row r="85">
      <c r="B85" s="11"/>
      <c r="J85" s="14"/>
    </row>
    <row r="86">
      <c r="B86" s="11"/>
      <c r="J86" s="14"/>
    </row>
    <row r="87">
      <c r="B87" s="11"/>
      <c r="J87" s="14"/>
    </row>
    <row r="88">
      <c r="B88" s="11"/>
      <c r="J88" s="14"/>
    </row>
    <row r="89">
      <c r="B89" s="11"/>
      <c r="J89" s="14"/>
    </row>
    <row r="90">
      <c r="B90" s="11"/>
      <c r="J90" s="14"/>
    </row>
    <row r="91">
      <c r="B91" s="11"/>
      <c r="J91" s="14"/>
    </row>
    <row r="92">
      <c r="B92" s="11"/>
      <c r="J92" s="14"/>
    </row>
    <row r="93">
      <c r="B93" s="11"/>
      <c r="J93" s="14"/>
    </row>
    <row r="94">
      <c r="B94" s="11"/>
      <c r="J94" s="14"/>
    </row>
    <row r="95">
      <c r="B95" s="11"/>
      <c r="J95" s="14"/>
    </row>
    <row r="96">
      <c r="B96" s="11"/>
      <c r="J96" s="14"/>
    </row>
    <row r="97">
      <c r="B97" s="11"/>
      <c r="J97" s="14"/>
    </row>
    <row r="98">
      <c r="B98" s="11"/>
      <c r="J98" s="14"/>
    </row>
    <row r="99">
      <c r="B99" s="11"/>
      <c r="J99" s="14"/>
    </row>
    <row r="100">
      <c r="B100" s="11"/>
      <c r="J100" s="14"/>
    </row>
    <row r="101">
      <c r="B101" s="11"/>
      <c r="J101" s="14"/>
    </row>
    <row r="102">
      <c r="B102" s="11"/>
      <c r="J102" s="14"/>
    </row>
    <row r="103">
      <c r="B103" s="11"/>
      <c r="J103" s="14"/>
    </row>
    <row r="104">
      <c r="B104" s="11"/>
      <c r="J104" s="14"/>
    </row>
    <row r="105">
      <c r="B105" s="11"/>
      <c r="J105" s="14"/>
    </row>
    <row r="106">
      <c r="B106" s="11"/>
      <c r="J106" s="14"/>
    </row>
    <row r="107">
      <c r="B107" s="11"/>
      <c r="J107" s="14"/>
    </row>
    <row r="108">
      <c r="B108" s="11"/>
      <c r="J108" s="14"/>
    </row>
    <row r="109">
      <c r="B109" s="11"/>
      <c r="J109" s="14"/>
    </row>
    <row r="110">
      <c r="B110" s="11"/>
      <c r="J110" s="14"/>
    </row>
    <row r="111">
      <c r="B111" s="11"/>
      <c r="J111" s="14"/>
    </row>
    <row r="112">
      <c r="B112" s="11"/>
      <c r="J112" s="14"/>
    </row>
    <row r="113">
      <c r="B113" s="11"/>
      <c r="J113" s="14"/>
    </row>
    <row r="114">
      <c r="B114" s="11"/>
      <c r="J114" s="14"/>
    </row>
    <row r="115">
      <c r="B115" s="11"/>
      <c r="J115" s="14"/>
    </row>
    <row r="116">
      <c r="B116" s="11"/>
      <c r="J116" s="14"/>
    </row>
    <row r="117">
      <c r="B117" s="11"/>
      <c r="J117" s="14"/>
    </row>
    <row r="118">
      <c r="B118" s="11"/>
      <c r="J118" s="14"/>
    </row>
    <row r="119">
      <c r="B119" s="11"/>
      <c r="J119" s="14"/>
    </row>
    <row r="120">
      <c r="B120" s="11"/>
      <c r="J120" s="14"/>
    </row>
    <row r="121">
      <c r="B121" s="11"/>
      <c r="J121" s="14"/>
    </row>
    <row r="122">
      <c r="B122" s="11"/>
      <c r="J122" s="14"/>
    </row>
    <row r="123">
      <c r="B123" s="11"/>
      <c r="J123" s="14"/>
    </row>
    <row r="124">
      <c r="B124" s="11"/>
      <c r="J124" s="14"/>
    </row>
    <row r="125">
      <c r="B125" s="11"/>
      <c r="J125" s="14"/>
    </row>
    <row r="126">
      <c r="B126" s="11"/>
      <c r="J126" s="14"/>
    </row>
    <row r="127">
      <c r="B127" s="11"/>
      <c r="J127" s="14"/>
    </row>
    <row r="128">
      <c r="B128" s="11"/>
      <c r="J128" s="14"/>
    </row>
    <row r="129">
      <c r="B129" s="11"/>
      <c r="J129" s="14"/>
    </row>
    <row r="130">
      <c r="B130" s="11"/>
      <c r="J130" s="14"/>
    </row>
    <row r="131">
      <c r="B131" s="11"/>
      <c r="J131" s="14"/>
    </row>
    <row r="132">
      <c r="B132" s="11"/>
      <c r="J132" s="14"/>
    </row>
    <row r="133">
      <c r="B133" s="11"/>
      <c r="J133" s="14"/>
    </row>
    <row r="134">
      <c r="B134" s="11"/>
      <c r="J134" s="14"/>
    </row>
    <row r="135">
      <c r="B135" s="11"/>
      <c r="J135" s="14"/>
    </row>
    <row r="136">
      <c r="B136" s="11"/>
      <c r="J136" s="14"/>
    </row>
    <row r="137">
      <c r="B137" s="11"/>
      <c r="J137" s="14"/>
    </row>
    <row r="138">
      <c r="B138" s="11"/>
      <c r="J138" s="14"/>
    </row>
    <row r="139">
      <c r="B139" s="11"/>
      <c r="J139" s="14"/>
    </row>
    <row r="140">
      <c r="B140" s="11"/>
      <c r="J140" s="14"/>
    </row>
    <row r="141">
      <c r="B141" s="11"/>
      <c r="J141" s="14"/>
    </row>
    <row r="142">
      <c r="B142" s="11"/>
      <c r="J142" s="14"/>
    </row>
    <row r="143">
      <c r="B143" s="11"/>
      <c r="J143" s="14"/>
    </row>
    <row r="144">
      <c r="B144" s="11"/>
      <c r="J144" s="14"/>
    </row>
    <row r="145">
      <c r="B145" s="11"/>
      <c r="J145" s="14"/>
    </row>
    <row r="146">
      <c r="B146" s="11"/>
      <c r="J146" s="14"/>
    </row>
    <row r="147">
      <c r="B147" s="11"/>
      <c r="J147" s="14"/>
    </row>
    <row r="148">
      <c r="B148" s="11"/>
      <c r="J148" s="14"/>
    </row>
    <row r="149">
      <c r="B149" s="11"/>
      <c r="J149" s="14"/>
    </row>
    <row r="150">
      <c r="B150" s="11"/>
      <c r="J150" s="14"/>
    </row>
    <row r="151">
      <c r="B151" s="11"/>
      <c r="J151" s="14"/>
    </row>
    <row r="152">
      <c r="B152" s="11"/>
      <c r="J152" s="14"/>
    </row>
    <row r="153">
      <c r="B153" s="11"/>
      <c r="J153" s="14"/>
    </row>
    <row r="154">
      <c r="B154" s="11"/>
      <c r="J154" s="14"/>
    </row>
    <row r="155">
      <c r="B155" s="11"/>
      <c r="J155" s="14"/>
    </row>
    <row r="156">
      <c r="B156" s="11"/>
      <c r="J156" s="14"/>
    </row>
    <row r="157">
      <c r="B157" s="11"/>
      <c r="J157" s="14"/>
    </row>
    <row r="158">
      <c r="B158" s="11"/>
      <c r="J158" s="14"/>
    </row>
    <row r="159">
      <c r="B159" s="11"/>
      <c r="J159" s="14"/>
    </row>
    <row r="160">
      <c r="B160" s="11"/>
      <c r="J160" s="14"/>
    </row>
    <row r="161">
      <c r="B161" s="11"/>
      <c r="J161" s="14"/>
    </row>
    <row r="162">
      <c r="B162" s="11"/>
      <c r="J162" s="14"/>
    </row>
    <row r="163">
      <c r="B163" s="11"/>
      <c r="J163" s="14"/>
    </row>
    <row r="164">
      <c r="B164" s="11"/>
      <c r="J164" s="14"/>
    </row>
    <row r="165">
      <c r="B165" s="11"/>
      <c r="J165" s="14"/>
    </row>
    <row r="166">
      <c r="B166" s="11"/>
      <c r="J166" s="14"/>
    </row>
    <row r="167">
      <c r="B167" s="11"/>
      <c r="J167" s="14"/>
    </row>
    <row r="168">
      <c r="B168" s="11"/>
      <c r="J168" s="14"/>
    </row>
    <row r="169">
      <c r="B169" s="11"/>
      <c r="J169" s="14"/>
    </row>
    <row r="170">
      <c r="B170" s="11"/>
      <c r="J170" s="14"/>
    </row>
    <row r="171">
      <c r="B171" s="11"/>
      <c r="J171" s="14"/>
    </row>
    <row r="172">
      <c r="B172" s="11"/>
      <c r="J172" s="14"/>
    </row>
    <row r="173">
      <c r="B173" s="11"/>
      <c r="J173" s="14"/>
    </row>
    <row r="174">
      <c r="B174" s="11"/>
      <c r="J174" s="14"/>
    </row>
    <row r="175">
      <c r="B175" s="11"/>
      <c r="J175" s="14"/>
    </row>
    <row r="176">
      <c r="B176" s="11"/>
      <c r="J176" s="14"/>
    </row>
    <row r="177">
      <c r="B177" s="11"/>
      <c r="J177" s="14"/>
    </row>
    <row r="178">
      <c r="B178" s="11"/>
      <c r="J178" s="14"/>
    </row>
    <row r="179">
      <c r="B179" s="11"/>
      <c r="J179" s="14"/>
    </row>
    <row r="180">
      <c r="B180" s="11"/>
      <c r="J180" s="14"/>
    </row>
    <row r="181">
      <c r="B181" s="11"/>
      <c r="J181" s="14"/>
    </row>
    <row r="182">
      <c r="B182" s="11"/>
      <c r="J182" s="14"/>
    </row>
    <row r="183">
      <c r="B183" s="11"/>
      <c r="J183" s="14"/>
    </row>
    <row r="184">
      <c r="B184" s="11"/>
      <c r="J184" s="14"/>
    </row>
    <row r="185">
      <c r="B185" s="11"/>
      <c r="J185" s="14"/>
    </row>
    <row r="186">
      <c r="B186" s="11"/>
      <c r="J186" s="14"/>
    </row>
    <row r="187">
      <c r="B187" s="11"/>
      <c r="J187" s="14"/>
    </row>
    <row r="188">
      <c r="B188" s="11"/>
      <c r="J188" s="14"/>
    </row>
    <row r="189">
      <c r="B189" s="11"/>
      <c r="J189" s="14"/>
    </row>
    <row r="190">
      <c r="B190" s="11"/>
      <c r="J190" s="14"/>
    </row>
    <row r="191">
      <c r="B191" s="11"/>
      <c r="J191" s="14"/>
    </row>
    <row r="192">
      <c r="B192" s="11"/>
      <c r="J192" s="14"/>
    </row>
    <row r="193">
      <c r="B193" s="11"/>
      <c r="J193" s="14"/>
    </row>
    <row r="194">
      <c r="B194" s="11"/>
      <c r="J194" s="14"/>
    </row>
    <row r="195">
      <c r="B195" s="11"/>
      <c r="J195" s="14"/>
    </row>
    <row r="196">
      <c r="B196" s="11"/>
      <c r="J196" s="14"/>
    </row>
    <row r="197">
      <c r="B197" s="11"/>
      <c r="J197" s="14"/>
    </row>
    <row r="198">
      <c r="B198" s="11"/>
      <c r="J198" s="14"/>
    </row>
    <row r="199">
      <c r="B199" s="11"/>
      <c r="J199" s="14"/>
    </row>
    <row r="200">
      <c r="B200" s="11"/>
      <c r="J200" s="14"/>
    </row>
    <row r="201">
      <c r="B201" s="11"/>
      <c r="J201" s="14"/>
    </row>
    <row r="202">
      <c r="B202" s="11"/>
      <c r="J202" s="14"/>
    </row>
    <row r="203">
      <c r="B203" s="11"/>
      <c r="J203" s="14"/>
    </row>
    <row r="204">
      <c r="B204" s="11"/>
      <c r="J204" s="14"/>
    </row>
    <row r="205">
      <c r="B205" s="11"/>
      <c r="J205" s="14"/>
    </row>
    <row r="206">
      <c r="B206" s="11"/>
      <c r="J206" s="14"/>
    </row>
    <row r="207">
      <c r="B207" s="11"/>
      <c r="J207" s="14"/>
    </row>
    <row r="208">
      <c r="B208" s="11"/>
      <c r="J208" s="14"/>
    </row>
    <row r="209">
      <c r="B209" s="11"/>
      <c r="J209" s="14"/>
    </row>
    <row r="210">
      <c r="B210" s="11"/>
      <c r="J210" s="14"/>
    </row>
    <row r="211">
      <c r="B211" s="11"/>
      <c r="J211" s="14"/>
    </row>
    <row r="212">
      <c r="B212" s="11"/>
      <c r="J212" s="14"/>
    </row>
    <row r="213">
      <c r="B213" s="11"/>
      <c r="J213" s="14"/>
    </row>
    <row r="214">
      <c r="B214" s="11"/>
      <c r="J214" s="14"/>
    </row>
    <row r="215">
      <c r="B215" s="11"/>
      <c r="J215" s="14"/>
    </row>
    <row r="216">
      <c r="B216" s="11"/>
      <c r="J216" s="14"/>
    </row>
    <row r="217">
      <c r="B217" s="11"/>
      <c r="J217" s="14"/>
    </row>
    <row r="218">
      <c r="B218" s="11"/>
      <c r="J218" s="14"/>
    </row>
    <row r="219">
      <c r="B219" s="11"/>
      <c r="J219" s="14"/>
    </row>
    <row r="220">
      <c r="B220" s="11"/>
      <c r="J220" s="14"/>
    </row>
    <row r="221">
      <c r="B221" s="11"/>
      <c r="J221" s="14"/>
    </row>
    <row r="222">
      <c r="B222" s="11"/>
      <c r="J222" s="14"/>
    </row>
    <row r="223">
      <c r="B223" s="11"/>
      <c r="J223" s="14"/>
    </row>
    <row r="224">
      <c r="B224" s="11"/>
      <c r="J224" s="14"/>
    </row>
    <row r="225">
      <c r="B225" s="11"/>
      <c r="J225" s="14"/>
    </row>
    <row r="226">
      <c r="B226" s="11"/>
      <c r="J226" s="14"/>
    </row>
    <row r="227">
      <c r="B227" s="11"/>
      <c r="J227" s="14"/>
    </row>
    <row r="228">
      <c r="B228" s="11"/>
      <c r="J228" s="14"/>
    </row>
    <row r="229">
      <c r="B229" s="11"/>
      <c r="J229" s="14"/>
    </row>
    <row r="230">
      <c r="B230" s="11"/>
      <c r="J230" s="14"/>
    </row>
    <row r="231">
      <c r="B231" s="11"/>
      <c r="J231" s="14"/>
    </row>
    <row r="232">
      <c r="B232" s="11"/>
      <c r="J232" s="14"/>
    </row>
    <row r="233">
      <c r="B233" s="11"/>
      <c r="J233" s="14"/>
    </row>
    <row r="234">
      <c r="B234" s="11"/>
      <c r="J234" s="14"/>
    </row>
    <row r="235">
      <c r="B235" s="11"/>
      <c r="J235" s="14"/>
    </row>
    <row r="236">
      <c r="B236" s="11"/>
      <c r="J236" s="14"/>
    </row>
    <row r="237">
      <c r="B237" s="11"/>
      <c r="J237" s="14"/>
    </row>
    <row r="238">
      <c r="B238" s="11"/>
      <c r="J238" s="14"/>
    </row>
    <row r="239">
      <c r="B239" s="11"/>
      <c r="J239" s="14"/>
    </row>
    <row r="240">
      <c r="B240" s="11"/>
      <c r="J240" s="14"/>
    </row>
    <row r="241">
      <c r="B241" s="11"/>
      <c r="J241" s="14"/>
    </row>
    <row r="242">
      <c r="B242" s="11"/>
      <c r="J242" s="14"/>
    </row>
    <row r="243">
      <c r="B243" s="11"/>
      <c r="J243" s="14"/>
    </row>
    <row r="244">
      <c r="B244" s="11"/>
      <c r="J244" s="14"/>
    </row>
    <row r="245">
      <c r="B245" s="11"/>
      <c r="J245" s="14"/>
    </row>
    <row r="246">
      <c r="B246" s="11"/>
      <c r="J246" s="14"/>
    </row>
    <row r="247">
      <c r="B247" s="11"/>
      <c r="J247" s="14"/>
    </row>
    <row r="248">
      <c r="B248" s="11"/>
      <c r="J248" s="14"/>
    </row>
    <row r="249">
      <c r="B249" s="11"/>
      <c r="J249" s="14"/>
    </row>
    <row r="250">
      <c r="B250" s="11"/>
      <c r="J250" s="14"/>
    </row>
    <row r="251">
      <c r="B251" s="11"/>
      <c r="J251" s="14"/>
    </row>
    <row r="252">
      <c r="B252" s="11"/>
      <c r="J252" s="14"/>
    </row>
    <row r="253">
      <c r="B253" s="11"/>
      <c r="J253" s="14"/>
    </row>
    <row r="254">
      <c r="B254" s="11"/>
      <c r="J254" s="14"/>
    </row>
    <row r="255">
      <c r="B255" s="11"/>
      <c r="J255" s="14"/>
    </row>
    <row r="256">
      <c r="B256" s="11"/>
      <c r="J256" s="14"/>
    </row>
    <row r="257">
      <c r="B257" s="11"/>
      <c r="J257" s="14"/>
    </row>
    <row r="258">
      <c r="B258" s="11"/>
      <c r="J258" s="14"/>
    </row>
    <row r="259">
      <c r="B259" s="11"/>
      <c r="J259" s="14"/>
    </row>
    <row r="260">
      <c r="B260" s="11"/>
      <c r="J260" s="14"/>
    </row>
    <row r="261">
      <c r="B261" s="11"/>
      <c r="J261" s="14"/>
    </row>
    <row r="262">
      <c r="B262" s="11"/>
      <c r="J262" s="14"/>
    </row>
    <row r="263">
      <c r="B263" s="11"/>
      <c r="J263" s="14"/>
    </row>
    <row r="264">
      <c r="B264" s="11"/>
      <c r="J264" s="14"/>
    </row>
    <row r="265">
      <c r="B265" s="11"/>
      <c r="J265" s="14"/>
    </row>
    <row r="266">
      <c r="B266" s="11"/>
      <c r="J266" s="14"/>
    </row>
    <row r="267">
      <c r="B267" s="11"/>
      <c r="J267" s="14"/>
    </row>
    <row r="268">
      <c r="B268" s="11"/>
      <c r="J268" s="14"/>
    </row>
    <row r="269">
      <c r="B269" s="11"/>
      <c r="J269" s="14"/>
    </row>
    <row r="270">
      <c r="B270" s="11"/>
      <c r="J270" s="14"/>
    </row>
    <row r="271">
      <c r="B271" s="11"/>
      <c r="J271" s="14"/>
    </row>
    <row r="272">
      <c r="B272" s="11"/>
      <c r="J272" s="14"/>
    </row>
    <row r="273">
      <c r="B273" s="11"/>
      <c r="J273" s="14"/>
    </row>
    <row r="274">
      <c r="B274" s="11"/>
      <c r="J274" s="14"/>
    </row>
    <row r="275">
      <c r="B275" s="11"/>
      <c r="J275" s="14"/>
    </row>
    <row r="276">
      <c r="B276" s="11"/>
      <c r="J276" s="14"/>
    </row>
    <row r="277">
      <c r="B277" s="11"/>
      <c r="J277" s="14"/>
    </row>
    <row r="278">
      <c r="B278" s="11"/>
      <c r="J278" s="14"/>
    </row>
    <row r="279">
      <c r="B279" s="11"/>
      <c r="J279" s="14"/>
    </row>
    <row r="280">
      <c r="B280" s="11"/>
      <c r="J280" s="14"/>
    </row>
    <row r="281">
      <c r="B281" s="11"/>
      <c r="J281" s="14"/>
    </row>
    <row r="282">
      <c r="B282" s="11"/>
      <c r="J282" s="14"/>
    </row>
    <row r="283">
      <c r="B283" s="11"/>
      <c r="J283" s="14"/>
    </row>
    <row r="284">
      <c r="B284" s="11"/>
      <c r="J284" s="14"/>
    </row>
    <row r="285">
      <c r="B285" s="11"/>
      <c r="J285" s="14"/>
    </row>
    <row r="286">
      <c r="B286" s="11"/>
      <c r="J286" s="14"/>
    </row>
    <row r="287">
      <c r="B287" s="11"/>
      <c r="J287" s="14"/>
    </row>
    <row r="288">
      <c r="B288" s="11"/>
      <c r="J288" s="14"/>
    </row>
    <row r="289">
      <c r="B289" s="11"/>
      <c r="J289" s="14"/>
    </row>
    <row r="290">
      <c r="B290" s="11"/>
      <c r="J290" s="14"/>
    </row>
    <row r="291">
      <c r="B291" s="11"/>
      <c r="J291" s="14"/>
    </row>
    <row r="292">
      <c r="B292" s="11"/>
      <c r="J292" s="14"/>
    </row>
    <row r="293">
      <c r="B293" s="11"/>
      <c r="J293" s="14"/>
    </row>
    <row r="294">
      <c r="B294" s="11"/>
      <c r="J294" s="14"/>
    </row>
    <row r="295">
      <c r="B295" s="11"/>
      <c r="J295" s="14"/>
    </row>
    <row r="296">
      <c r="B296" s="11"/>
      <c r="J296" s="14"/>
    </row>
    <row r="297">
      <c r="B297" s="11"/>
      <c r="J297" s="14"/>
    </row>
    <row r="298">
      <c r="B298" s="11"/>
      <c r="J298" s="14"/>
    </row>
    <row r="299">
      <c r="B299" s="11"/>
      <c r="J299" s="14"/>
    </row>
    <row r="300">
      <c r="B300" s="11"/>
      <c r="J300" s="14"/>
    </row>
    <row r="301">
      <c r="B301" s="11"/>
      <c r="J301" s="14"/>
    </row>
    <row r="302">
      <c r="B302" s="11"/>
      <c r="J302" s="14"/>
    </row>
    <row r="303">
      <c r="B303" s="11"/>
      <c r="J303" s="14"/>
    </row>
    <row r="304">
      <c r="B304" s="11"/>
      <c r="J304" s="14"/>
    </row>
    <row r="305">
      <c r="B305" s="11"/>
      <c r="J305" s="14"/>
    </row>
    <row r="306">
      <c r="B306" s="11"/>
      <c r="J306" s="14"/>
    </row>
    <row r="307">
      <c r="B307" s="11"/>
      <c r="J307" s="14"/>
    </row>
    <row r="308">
      <c r="B308" s="11"/>
      <c r="J308" s="14"/>
    </row>
    <row r="309">
      <c r="B309" s="11"/>
      <c r="J309" s="14"/>
    </row>
    <row r="310">
      <c r="B310" s="11"/>
      <c r="J310" s="14"/>
    </row>
    <row r="311">
      <c r="B311" s="11"/>
      <c r="J311" s="14"/>
    </row>
    <row r="312">
      <c r="B312" s="11"/>
      <c r="J312" s="14"/>
    </row>
    <row r="313">
      <c r="B313" s="11"/>
      <c r="J313" s="14"/>
    </row>
    <row r="314">
      <c r="B314" s="11"/>
      <c r="J314" s="14"/>
    </row>
    <row r="315">
      <c r="B315" s="11"/>
      <c r="J315" s="14"/>
    </row>
    <row r="316">
      <c r="B316" s="11"/>
      <c r="J316" s="14"/>
    </row>
    <row r="317">
      <c r="B317" s="11"/>
      <c r="J317" s="14"/>
    </row>
    <row r="318">
      <c r="B318" s="11"/>
      <c r="J318" s="14"/>
    </row>
    <row r="319">
      <c r="B319" s="11"/>
      <c r="J319" s="14"/>
    </row>
    <row r="320">
      <c r="B320" s="11"/>
      <c r="J320" s="14"/>
    </row>
    <row r="321">
      <c r="B321" s="11"/>
      <c r="J321" s="14"/>
    </row>
    <row r="322">
      <c r="B322" s="11"/>
      <c r="J322" s="14"/>
    </row>
    <row r="323">
      <c r="B323" s="11"/>
      <c r="J323" s="14"/>
    </row>
    <row r="324">
      <c r="B324" s="11"/>
      <c r="J324" s="14"/>
    </row>
    <row r="325">
      <c r="B325" s="11"/>
      <c r="J325" s="14"/>
    </row>
    <row r="326">
      <c r="B326" s="11"/>
      <c r="J326" s="14"/>
    </row>
    <row r="327">
      <c r="B327" s="11"/>
      <c r="J327" s="14"/>
    </row>
    <row r="328">
      <c r="B328" s="11"/>
      <c r="J328" s="14"/>
    </row>
    <row r="329">
      <c r="B329" s="11"/>
      <c r="J329" s="14"/>
    </row>
    <row r="330">
      <c r="B330" s="11"/>
      <c r="J330" s="14"/>
    </row>
    <row r="331">
      <c r="B331" s="11"/>
      <c r="J331" s="14"/>
    </row>
    <row r="332">
      <c r="B332" s="11"/>
      <c r="J332" s="14"/>
    </row>
    <row r="333">
      <c r="B333" s="11"/>
      <c r="J333" s="14"/>
    </row>
    <row r="334">
      <c r="B334" s="11"/>
      <c r="J334" s="14"/>
    </row>
    <row r="335">
      <c r="B335" s="11"/>
      <c r="J335" s="14"/>
    </row>
    <row r="336">
      <c r="B336" s="11"/>
      <c r="J336" s="14"/>
    </row>
    <row r="337">
      <c r="B337" s="11"/>
      <c r="J337" s="14"/>
    </row>
    <row r="338">
      <c r="B338" s="11"/>
      <c r="J338" s="14"/>
    </row>
    <row r="339">
      <c r="B339" s="11"/>
      <c r="J339" s="14"/>
    </row>
    <row r="340">
      <c r="B340" s="11"/>
      <c r="J340" s="14"/>
    </row>
    <row r="341">
      <c r="B341" s="11"/>
      <c r="J341" s="14"/>
    </row>
    <row r="342">
      <c r="B342" s="11"/>
      <c r="J342" s="14"/>
    </row>
    <row r="343">
      <c r="B343" s="11"/>
      <c r="J343" s="14"/>
    </row>
    <row r="344">
      <c r="B344" s="11"/>
      <c r="J344" s="14"/>
    </row>
    <row r="345">
      <c r="B345" s="11"/>
      <c r="J345" s="14"/>
    </row>
    <row r="346">
      <c r="B346" s="11"/>
      <c r="J346" s="14"/>
    </row>
    <row r="347">
      <c r="B347" s="11"/>
      <c r="J347" s="14"/>
    </row>
    <row r="348">
      <c r="B348" s="11"/>
      <c r="J348" s="14"/>
    </row>
    <row r="349">
      <c r="B349" s="11"/>
      <c r="J349" s="14"/>
    </row>
    <row r="350">
      <c r="B350" s="11"/>
      <c r="J350" s="14"/>
    </row>
    <row r="351">
      <c r="B351" s="11"/>
      <c r="J351" s="14"/>
    </row>
    <row r="352">
      <c r="B352" s="11"/>
      <c r="J352" s="14"/>
    </row>
    <row r="353">
      <c r="B353" s="11"/>
      <c r="J353" s="14"/>
    </row>
    <row r="354">
      <c r="B354" s="11"/>
      <c r="J354" s="14"/>
    </row>
    <row r="355">
      <c r="B355" s="11"/>
      <c r="J355" s="14"/>
    </row>
    <row r="356">
      <c r="B356" s="11"/>
      <c r="J356" s="14"/>
    </row>
    <row r="357">
      <c r="B357" s="11"/>
      <c r="J357" s="14"/>
    </row>
    <row r="358">
      <c r="B358" s="11"/>
      <c r="J358" s="14"/>
    </row>
    <row r="359">
      <c r="B359" s="11"/>
      <c r="J359" s="14"/>
    </row>
    <row r="360">
      <c r="B360" s="11"/>
      <c r="J360" s="14"/>
    </row>
    <row r="361">
      <c r="B361" s="11"/>
      <c r="J361" s="14"/>
    </row>
    <row r="362">
      <c r="B362" s="11"/>
      <c r="J362" s="14"/>
    </row>
    <row r="363">
      <c r="B363" s="11"/>
      <c r="J363" s="14"/>
    </row>
    <row r="364">
      <c r="B364" s="11"/>
      <c r="J364" s="14"/>
    </row>
    <row r="365">
      <c r="B365" s="11"/>
      <c r="J365" s="14"/>
    </row>
    <row r="366">
      <c r="B366" s="11"/>
      <c r="J366" s="14"/>
    </row>
    <row r="367">
      <c r="B367" s="11"/>
      <c r="J367" s="14"/>
    </row>
    <row r="368">
      <c r="B368" s="11"/>
      <c r="J368" s="14"/>
    </row>
    <row r="369">
      <c r="B369" s="11"/>
      <c r="J369" s="14"/>
    </row>
    <row r="370">
      <c r="B370" s="11"/>
      <c r="J370" s="14"/>
    </row>
    <row r="371">
      <c r="B371" s="11"/>
      <c r="J371" s="14"/>
    </row>
    <row r="372">
      <c r="B372" s="11"/>
      <c r="J372" s="14"/>
    </row>
    <row r="373">
      <c r="B373" s="11"/>
      <c r="J373" s="14"/>
    </row>
    <row r="374">
      <c r="B374" s="11"/>
      <c r="J374" s="14"/>
    </row>
    <row r="375">
      <c r="B375" s="11"/>
      <c r="J375" s="14"/>
    </row>
    <row r="376">
      <c r="B376" s="11"/>
      <c r="J376" s="14"/>
    </row>
    <row r="377">
      <c r="B377" s="11"/>
      <c r="J377" s="14"/>
    </row>
    <row r="378">
      <c r="B378" s="11"/>
      <c r="J378" s="14"/>
    </row>
    <row r="379">
      <c r="B379" s="11"/>
      <c r="J379" s="14"/>
    </row>
    <row r="380">
      <c r="B380" s="11"/>
      <c r="J380" s="14"/>
    </row>
    <row r="381">
      <c r="B381" s="11"/>
      <c r="J381" s="14"/>
    </row>
    <row r="382">
      <c r="B382" s="11"/>
      <c r="J382" s="14"/>
    </row>
    <row r="383">
      <c r="B383" s="11"/>
      <c r="J383" s="14"/>
    </row>
    <row r="384">
      <c r="B384" s="11"/>
      <c r="J384" s="14"/>
    </row>
    <row r="385">
      <c r="B385" s="11"/>
      <c r="J385" s="14"/>
    </row>
    <row r="386">
      <c r="B386" s="11"/>
      <c r="J386" s="14"/>
    </row>
    <row r="387">
      <c r="B387" s="11"/>
      <c r="J387" s="14"/>
    </row>
    <row r="388">
      <c r="B388" s="11"/>
      <c r="J388" s="14"/>
    </row>
    <row r="389">
      <c r="B389" s="11"/>
      <c r="J389" s="14"/>
    </row>
    <row r="390">
      <c r="B390" s="11"/>
      <c r="J390" s="14"/>
    </row>
    <row r="391">
      <c r="B391" s="11"/>
      <c r="J391" s="14"/>
    </row>
    <row r="392">
      <c r="B392" s="11"/>
      <c r="J392" s="14"/>
    </row>
    <row r="393">
      <c r="B393" s="11"/>
      <c r="J393" s="14"/>
    </row>
    <row r="394">
      <c r="B394" s="11"/>
      <c r="J394" s="14"/>
    </row>
    <row r="395">
      <c r="B395" s="11"/>
      <c r="J395" s="14"/>
    </row>
    <row r="396">
      <c r="B396" s="11"/>
      <c r="J396" s="14"/>
    </row>
    <row r="397">
      <c r="B397" s="11"/>
      <c r="J397" s="14"/>
    </row>
    <row r="398">
      <c r="B398" s="11"/>
      <c r="J398" s="14"/>
    </row>
    <row r="399">
      <c r="B399" s="11"/>
      <c r="J399" s="14"/>
    </row>
    <row r="400">
      <c r="B400" s="11"/>
      <c r="J400" s="14"/>
    </row>
    <row r="401">
      <c r="B401" s="11"/>
      <c r="J401" s="14"/>
    </row>
    <row r="402">
      <c r="B402" s="11"/>
      <c r="J402" s="14"/>
    </row>
    <row r="403">
      <c r="B403" s="11"/>
      <c r="J403" s="14"/>
    </row>
    <row r="404">
      <c r="B404" s="11"/>
      <c r="J404" s="14"/>
    </row>
    <row r="405">
      <c r="B405" s="11"/>
      <c r="J405" s="14"/>
    </row>
    <row r="406">
      <c r="B406" s="11"/>
      <c r="J406" s="14"/>
    </row>
    <row r="407">
      <c r="B407" s="11"/>
      <c r="J407" s="14"/>
    </row>
    <row r="408">
      <c r="B408" s="11"/>
      <c r="J408" s="14"/>
    </row>
    <row r="409">
      <c r="B409" s="11"/>
      <c r="J409" s="14"/>
    </row>
    <row r="410">
      <c r="B410" s="11"/>
      <c r="J410" s="14"/>
    </row>
    <row r="411">
      <c r="B411" s="11"/>
      <c r="J411" s="14"/>
    </row>
    <row r="412">
      <c r="B412" s="11"/>
      <c r="J412" s="14"/>
    </row>
    <row r="413">
      <c r="B413" s="11"/>
      <c r="J413" s="14"/>
    </row>
    <row r="414">
      <c r="B414" s="11"/>
      <c r="J414" s="14"/>
    </row>
    <row r="415">
      <c r="B415" s="11"/>
      <c r="J415" s="14"/>
    </row>
    <row r="416">
      <c r="B416" s="11"/>
      <c r="J416" s="14"/>
    </row>
    <row r="417">
      <c r="B417" s="11"/>
      <c r="J417" s="14"/>
    </row>
    <row r="418">
      <c r="B418" s="11"/>
      <c r="J418" s="14"/>
    </row>
    <row r="419">
      <c r="B419" s="11"/>
      <c r="J419" s="14"/>
    </row>
    <row r="420">
      <c r="B420" s="11"/>
      <c r="J420" s="14"/>
    </row>
    <row r="421">
      <c r="B421" s="11"/>
      <c r="J421" s="14"/>
    </row>
    <row r="422">
      <c r="B422" s="11"/>
      <c r="J422" s="14"/>
    </row>
    <row r="423">
      <c r="B423" s="11"/>
      <c r="J423" s="14"/>
    </row>
    <row r="424">
      <c r="B424" s="11"/>
      <c r="J424" s="14"/>
    </row>
    <row r="425">
      <c r="B425" s="11"/>
      <c r="J425" s="14"/>
    </row>
    <row r="426">
      <c r="B426" s="11"/>
      <c r="J426" s="14"/>
    </row>
    <row r="427">
      <c r="B427" s="11"/>
      <c r="J427" s="14"/>
    </row>
    <row r="428">
      <c r="B428" s="11"/>
      <c r="J428" s="14"/>
    </row>
    <row r="429">
      <c r="B429" s="11"/>
      <c r="J429" s="14"/>
    </row>
    <row r="430">
      <c r="B430" s="11"/>
      <c r="J430" s="14"/>
    </row>
    <row r="431">
      <c r="B431" s="11"/>
      <c r="J431" s="14"/>
    </row>
    <row r="432">
      <c r="B432" s="11"/>
      <c r="J432" s="14"/>
    </row>
    <row r="433">
      <c r="B433" s="11"/>
      <c r="J433" s="14"/>
    </row>
    <row r="434">
      <c r="B434" s="11"/>
      <c r="J434" s="14"/>
    </row>
    <row r="435">
      <c r="B435" s="11"/>
      <c r="J435" s="14"/>
    </row>
    <row r="436">
      <c r="B436" s="11"/>
      <c r="J436" s="14"/>
    </row>
    <row r="437">
      <c r="B437" s="11"/>
      <c r="J437" s="14"/>
    </row>
    <row r="438">
      <c r="B438" s="11"/>
      <c r="J438" s="14"/>
    </row>
    <row r="439">
      <c r="B439" s="11"/>
      <c r="J439" s="14"/>
    </row>
    <row r="440">
      <c r="B440" s="11"/>
      <c r="J440" s="14"/>
    </row>
    <row r="441">
      <c r="B441" s="11"/>
      <c r="J441" s="14"/>
    </row>
    <row r="442">
      <c r="B442" s="11"/>
      <c r="J442" s="14"/>
    </row>
    <row r="443">
      <c r="B443" s="11"/>
      <c r="J443" s="14"/>
    </row>
    <row r="444">
      <c r="B444" s="11"/>
      <c r="J444" s="14"/>
    </row>
    <row r="445">
      <c r="B445" s="11"/>
      <c r="J445" s="14"/>
    </row>
    <row r="446">
      <c r="B446" s="11"/>
      <c r="J446" s="14"/>
    </row>
    <row r="447">
      <c r="B447" s="11"/>
      <c r="J447" s="14"/>
    </row>
    <row r="448">
      <c r="B448" s="11"/>
      <c r="J448" s="14"/>
    </row>
    <row r="449">
      <c r="B449" s="11"/>
      <c r="J449" s="14"/>
    </row>
    <row r="450">
      <c r="B450" s="11"/>
      <c r="J450" s="14"/>
    </row>
    <row r="451">
      <c r="B451" s="11"/>
      <c r="J451" s="14"/>
    </row>
    <row r="452">
      <c r="B452" s="11"/>
      <c r="J452" s="14"/>
    </row>
    <row r="453">
      <c r="B453" s="11"/>
      <c r="J453" s="14"/>
    </row>
    <row r="454">
      <c r="B454" s="11"/>
      <c r="J454" s="14"/>
    </row>
    <row r="455">
      <c r="B455" s="11"/>
      <c r="J455" s="14"/>
    </row>
    <row r="456">
      <c r="B456" s="11"/>
      <c r="J456" s="14"/>
    </row>
    <row r="457">
      <c r="B457" s="11"/>
      <c r="J457" s="14"/>
    </row>
    <row r="458">
      <c r="B458" s="11"/>
      <c r="J458" s="14"/>
    </row>
    <row r="459">
      <c r="B459" s="11"/>
      <c r="J459" s="14"/>
    </row>
    <row r="460">
      <c r="B460" s="11"/>
      <c r="J460" s="14"/>
    </row>
    <row r="461">
      <c r="B461" s="11"/>
      <c r="J461" s="14"/>
    </row>
    <row r="462">
      <c r="B462" s="11"/>
      <c r="J462" s="14"/>
    </row>
    <row r="463">
      <c r="B463" s="11"/>
      <c r="J463" s="14"/>
    </row>
    <row r="464">
      <c r="B464" s="11"/>
      <c r="J464" s="14"/>
    </row>
    <row r="465">
      <c r="B465" s="11"/>
      <c r="J465" s="14"/>
    </row>
    <row r="466">
      <c r="B466" s="11"/>
      <c r="J466" s="14"/>
    </row>
    <row r="467">
      <c r="B467" s="11"/>
      <c r="J467" s="14"/>
    </row>
    <row r="468">
      <c r="B468" s="11"/>
      <c r="J468" s="14"/>
    </row>
    <row r="469">
      <c r="B469" s="11"/>
      <c r="J469" s="14"/>
    </row>
    <row r="470">
      <c r="B470" s="11"/>
      <c r="J470" s="14"/>
    </row>
    <row r="471">
      <c r="B471" s="11"/>
      <c r="J471" s="14"/>
    </row>
    <row r="472">
      <c r="B472" s="11"/>
      <c r="J472" s="14"/>
    </row>
    <row r="473">
      <c r="B473" s="11"/>
      <c r="J473" s="14"/>
    </row>
    <row r="474">
      <c r="B474" s="11"/>
      <c r="J474" s="14"/>
    </row>
    <row r="475">
      <c r="B475" s="11"/>
      <c r="J475" s="14"/>
    </row>
    <row r="476">
      <c r="B476" s="11"/>
      <c r="J476" s="14"/>
    </row>
    <row r="477">
      <c r="B477" s="11"/>
      <c r="J477" s="14"/>
    </row>
    <row r="478">
      <c r="B478" s="11"/>
      <c r="J478" s="14"/>
    </row>
    <row r="479">
      <c r="B479" s="11"/>
      <c r="J479" s="14"/>
    </row>
    <row r="480">
      <c r="B480" s="11"/>
      <c r="J480" s="14"/>
    </row>
    <row r="481">
      <c r="B481" s="11"/>
      <c r="J481" s="14"/>
    </row>
    <row r="482">
      <c r="B482" s="11"/>
      <c r="J482" s="14"/>
    </row>
    <row r="483">
      <c r="B483" s="11"/>
      <c r="J483" s="14"/>
    </row>
    <row r="484">
      <c r="B484" s="11"/>
      <c r="J484" s="14"/>
    </row>
    <row r="485">
      <c r="B485" s="11"/>
      <c r="J485" s="14"/>
    </row>
    <row r="486">
      <c r="B486" s="11"/>
      <c r="J486" s="14"/>
    </row>
    <row r="487">
      <c r="B487" s="11"/>
      <c r="J487" s="14"/>
    </row>
    <row r="488">
      <c r="B488" s="11"/>
      <c r="J488" s="14"/>
    </row>
    <row r="489">
      <c r="B489" s="11"/>
      <c r="J489" s="14"/>
    </row>
    <row r="490">
      <c r="B490" s="11"/>
      <c r="J490" s="14"/>
    </row>
    <row r="491">
      <c r="B491" s="11"/>
      <c r="J491" s="14"/>
    </row>
    <row r="492">
      <c r="B492" s="11"/>
      <c r="J492" s="14"/>
    </row>
    <row r="493">
      <c r="B493" s="11"/>
      <c r="J493" s="14"/>
    </row>
    <row r="494">
      <c r="B494" s="11"/>
      <c r="J494" s="14"/>
    </row>
    <row r="495">
      <c r="B495" s="11"/>
      <c r="J495" s="14"/>
    </row>
    <row r="496">
      <c r="B496" s="11"/>
      <c r="J496" s="14"/>
    </row>
    <row r="497">
      <c r="B497" s="11"/>
      <c r="J497" s="14"/>
    </row>
    <row r="498">
      <c r="B498" s="11"/>
      <c r="J498" s="14"/>
    </row>
    <row r="499">
      <c r="B499" s="11"/>
      <c r="J499" s="14"/>
    </row>
    <row r="500">
      <c r="B500" s="11"/>
      <c r="J500" s="14"/>
    </row>
    <row r="501">
      <c r="B501" s="11"/>
      <c r="J501" s="14"/>
    </row>
    <row r="502">
      <c r="B502" s="11"/>
      <c r="J502" s="14"/>
    </row>
    <row r="503">
      <c r="B503" s="11"/>
      <c r="J503" s="14"/>
    </row>
    <row r="504">
      <c r="B504" s="11"/>
      <c r="J504" s="14"/>
    </row>
    <row r="505">
      <c r="B505" s="11"/>
      <c r="J505" s="14"/>
    </row>
    <row r="506">
      <c r="B506" s="11"/>
      <c r="J506" s="14"/>
    </row>
    <row r="507">
      <c r="B507" s="11"/>
      <c r="J507" s="14"/>
    </row>
    <row r="508">
      <c r="B508" s="11"/>
      <c r="J508" s="14"/>
    </row>
    <row r="509">
      <c r="B509" s="11"/>
      <c r="J509" s="14"/>
    </row>
    <row r="510">
      <c r="B510" s="11"/>
      <c r="J510" s="14"/>
    </row>
    <row r="511">
      <c r="B511" s="11"/>
      <c r="J511" s="14"/>
    </row>
    <row r="512">
      <c r="B512" s="11"/>
      <c r="J512" s="14"/>
    </row>
    <row r="513">
      <c r="B513" s="11"/>
      <c r="J513" s="14"/>
    </row>
    <row r="514">
      <c r="B514" s="11"/>
      <c r="J514" s="14"/>
    </row>
    <row r="515">
      <c r="B515" s="11"/>
      <c r="J515" s="14"/>
    </row>
    <row r="516">
      <c r="B516" s="11"/>
      <c r="J516" s="14"/>
    </row>
    <row r="517">
      <c r="B517" s="11"/>
      <c r="J517" s="14"/>
    </row>
    <row r="518">
      <c r="B518" s="11"/>
      <c r="J518" s="14"/>
    </row>
    <row r="519">
      <c r="B519" s="11"/>
      <c r="J519" s="14"/>
    </row>
    <row r="520">
      <c r="B520" s="11"/>
      <c r="J520" s="14"/>
    </row>
    <row r="521">
      <c r="B521" s="11"/>
      <c r="J521" s="14"/>
    </row>
    <row r="522">
      <c r="B522" s="11"/>
      <c r="J522" s="14"/>
    </row>
    <row r="523">
      <c r="B523" s="11"/>
      <c r="J523" s="14"/>
    </row>
    <row r="524">
      <c r="B524" s="11"/>
      <c r="J524" s="14"/>
    </row>
    <row r="525">
      <c r="B525" s="11"/>
      <c r="J525" s="14"/>
    </row>
    <row r="526">
      <c r="B526" s="11"/>
      <c r="J526" s="14"/>
    </row>
    <row r="527">
      <c r="B527" s="11"/>
      <c r="J527" s="14"/>
    </row>
    <row r="528">
      <c r="B528" s="11"/>
      <c r="J528" s="14"/>
    </row>
    <row r="529">
      <c r="B529" s="11"/>
      <c r="J529" s="14"/>
    </row>
    <row r="530">
      <c r="B530" s="11"/>
      <c r="J530" s="14"/>
    </row>
    <row r="531">
      <c r="B531" s="11"/>
      <c r="J531" s="14"/>
    </row>
    <row r="532">
      <c r="B532" s="11"/>
      <c r="J532" s="14"/>
    </row>
    <row r="533">
      <c r="B533" s="11"/>
      <c r="J533" s="14"/>
    </row>
    <row r="534">
      <c r="B534" s="11"/>
      <c r="J534" s="14"/>
    </row>
    <row r="535">
      <c r="B535" s="11"/>
      <c r="J535" s="14"/>
    </row>
    <row r="536">
      <c r="B536" s="11"/>
      <c r="J536" s="14"/>
    </row>
    <row r="537">
      <c r="B537" s="11"/>
      <c r="J537" s="14"/>
    </row>
    <row r="538">
      <c r="B538" s="11"/>
      <c r="J538" s="14"/>
    </row>
    <row r="539">
      <c r="B539" s="11"/>
      <c r="J539" s="14"/>
    </row>
    <row r="540">
      <c r="B540" s="11"/>
      <c r="J540" s="14"/>
    </row>
    <row r="541">
      <c r="B541" s="11"/>
      <c r="J541" s="14"/>
    </row>
    <row r="542">
      <c r="B542" s="11"/>
      <c r="J542" s="14"/>
    </row>
    <row r="543">
      <c r="B543" s="11"/>
      <c r="J543" s="14"/>
    </row>
    <row r="544">
      <c r="B544" s="11"/>
      <c r="J544" s="14"/>
    </row>
    <row r="545">
      <c r="B545" s="11"/>
      <c r="J545" s="14"/>
    </row>
    <row r="546">
      <c r="B546" s="11"/>
      <c r="J546" s="14"/>
    </row>
    <row r="547">
      <c r="B547" s="11"/>
      <c r="J547" s="14"/>
    </row>
    <row r="548">
      <c r="B548" s="11"/>
      <c r="J548" s="14"/>
    </row>
    <row r="549">
      <c r="B549" s="11"/>
      <c r="J549" s="14"/>
    </row>
    <row r="550">
      <c r="B550" s="11"/>
      <c r="J550" s="14"/>
    </row>
    <row r="551">
      <c r="B551" s="11"/>
      <c r="J551" s="14"/>
    </row>
    <row r="552">
      <c r="B552" s="11"/>
      <c r="J552" s="14"/>
    </row>
    <row r="553">
      <c r="B553" s="11"/>
      <c r="J553" s="14"/>
    </row>
    <row r="554">
      <c r="B554" s="11"/>
      <c r="J554" s="14"/>
    </row>
    <row r="555">
      <c r="B555" s="11"/>
      <c r="J555" s="14"/>
    </row>
    <row r="556">
      <c r="B556" s="11"/>
      <c r="J556" s="14"/>
    </row>
    <row r="557">
      <c r="B557" s="11"/>
      <c r="J557" s="14"/>
    </row>
    <row r="558">
      <c r="B558" s="11"/>
      <c r="J558" s="14"/>
    </row>
    <row r="559">
      <c r="B559" s="11"/>
      <c r="J559" s="14"/>
    </row>
    <row r="560">
      <c r="B560" s="11"/>
      <c r="J560" s="14"/>
    </row>
    <row r="561">
      <c r="B561" s="11"/>
      <c r="J561" s="14"/>
    </row>
    <row r="562">
      <c r="B562" s="11"/>
      <c r="J562" s="14"/>
    </row>
    <row r="563">
      <c r="B563" s="11"/>
      <c r="J563" s="14"/>
    </row>
    <row r="564">
      <c r="B564" s="11"/>
      <c r="J564" s="14"/>
    </row>
    <row r="565">
      <c r="B565" s="11"/>
      <c r="J565" s="14"/>
    </row>
    <row r="566">
      <c r="B566" s="11"/>
      <c r="J566" s="14"/>
    </row>
    <row r="567">
      <c r="B567" s="11"/>
      <c r="J567" s="14"/>
    </row>
    <row r="568">
      <c r="B568" s="11"/>
      <c r="J568" s="14"/>
    </row>
    <row r="569">
      <c r="B569" s="11"/>
      <c r="J569" s="14"/>
    </row>
    <row r="570">
      <c r="B570" s="11"/>
      <c r="J570" s="14"/>
    </row>
    <row r="571">
      <c r="B571" s="11"/>
      <c r="J571" s="14"/>
    </row>
    <row r="572">
      <c r="B572" s="11"/>
      <c r="J572" s="14"/>
    </row>
    <row r="573">
      <c r="B573" s="11"/>
      <c r="J573" s="14"/>
    </row>
    <row r="574">
      <c r="B574" s="11"/>
      <c r="J574" s="14"/>
    </row>
    <row r="575">
      <c r="B575" s="11"/>
      <c r="J575" s="14"/>
    </row>
    <row r="576">
      <c r="B576" s="11"/>
      <c r="J576" s="14"/>
    </row>
    <row r="577">
      <c r="B577" s="11"/>
      <c r="J577" s="14"/>
    </row>
    <row r="578">
      <c r="B578" s="11"/>
      <c r="J578" s="14"/>
    </row>
    <row r="579">
      <c r="B579" s="11"/>
      <c r="J579" s="14"/>
    </row>
    <row r="580">
      <c r="B580" s="11"/>
      <c r="J580" s="14"/>
    </row>
    <row r="581">
      <c r="B581" s="11"/>
      <c r="J581" s="14"/>
    </row>
    <row r="582">
      <c r="B582" s="11"/>
      <c r="J582" s="14"/>
    </row>
    <row r="583">
      <c r="B583" s="11"/>
      <c r="J583" s="14"/>
    </row>
    <row r="584">
      <c r="B584" s="11"/>
      <c r="J584" s="14"/>
    </row>
    <row r="585">
      <c r="B585" s="11"/>
      <c r="J585" s="14"/>
    </row>
    <row r="586">
      <c r="B586" s="11"/>
      <c r="J586" s="14"/>
    </row>
    <row r="587">
      <c r="B587" s="11"/>
      <c r="J587" s="14"/>
    </row>
    <row r="588">
      <c r="B588" s="11"/>
      <c r="J588" s="14"/>
    </row>
    <row r="589">
      <c r="B589" s="11"/>
      <c r="J589" s="14"/>
    </row>
    <row r="590">
      <c r="B590" s="11"/>
      <c r="J590" s="14"/>
    </row>
    <row r="591">
      <c r="B591" s="11"/>
      <c r="J591" s="14"/>
    </row>
    <row r="592">
      <c r="B592" s="11"/>
      <c r="J592" s="14"/>
    </row>
    <row r="593">
      <c r="B593" s="11"/>
      <c r="J593" s="14"/>
    </row>
    <row r="594">
      <c r="B594" s="11"/>
      <c r="J594" s="14"/>
    </row>
    <row r="595">
      <c r="B595" s="11"/>
      <c r="J595" s="14"/>
    </row>
    <row r="596">
      <c r="B596" s="11"/>
      <c r="J596" s="14"/>
    </row>
    <row r="597">
      <c r="B597" s="11"/>
      <c r="J597" s="14"/>
    </row>
    <row r="598">
      <c r="B598" s="11"/>
      <c r="J598" s="14"/>
    </row>
    <row r="599">
      <c r="B599" s="11"/>
      <c r="J599" s="14"/>
    </row>
    <row r="600">
      <c r="B600" s="11"/>
      <c r="J600" s="14"/>
    </row>
    <row r="601">
      <c r="B601" s="11"/>
      <c r="J601" s="14"/>
    </row>
    <row r="602">
      <c r="B602" s="11"/>
      <c r="J602" s="14"/>
    </row>
    <row r="603">
      <c r="B603" s="11"/>
      <c r="J603" s="14"/>
    </row>
    <row r="604">
      <c r="B604" s="11"/>
      <c r="J604" s="14"/>
    </row>
    <row r="605">
      <c r="B605" s="11"/>
      <c r="J605" s="14"/>
    </row>
    <row r="606">
      <c r="B606" s="11"/>
      <c r="J606" s="14"/>
    </row>
    <row r="607">
      <c r="B607" s="11"/>
      <c r="J607" s="14"/>
    </row>
    <row r="608">
      <c r="B608" s="11"/>
      <c r="J608" s="14"/>
    </row>
    <row r="609">
      <c r="B609" s="11"/>
      <c r="J609" s="14"/>
    </row>
    <row r="610">
      <c r="B610" s="11"/>
      <c r="J610" s="14"/>
    </row>
    <row r="611">
      <c r="B611" s="11"/>
      <c r="J611" s="14"/>
    </row>
    <row r="612">
      <c r="B612" s="11"/>
      <c r="J612" s="14"/>
    </row>
    <row r="613">
      <c r="B613" s="11"/>
      <c r="J613" s="14"/>
    </row>
    <row r="614">
      <c r="B614" s="11"/>
      <c r="J614" s="14"/>
    </row>
    <row r="615">
      <c r="B615" s="11"/>
      <c r="J615" s="14"/>
    </row>
    <row r="616">
      <c r="B616" s="11"/>
      <c r="J616" s="14"/>
    </row>
    <row r="617">
      <c r="B617" s="11"/>
      <c r="J617" s="14"/>
    </row>
    <row r="618">
      <c r="B618" s="11"/>
      <c r="J618" s="14"/>
    </row>
    <row r="619">
      <c r="B619" s="11"/>
      <c r="J619" s="14"/>
    </row>
    <row r="620">
      <c r="B620" s="11"/>
      <c r="J620" s="14"/>
    </row>
    <row r="621">
      <c r="B621" s="11"/>
      <c r="J621" s="14"/>
    </row>
    <row r="622">
      <c r="B622" s="11"/>
      <c r="J622" s="14"/>
    </row>
    <row r="623">
      <c r="B623" s="11"/>
      <c r="J623" s="14"/>
    </row>
    <row r="624">
      <c r="B624" s="11"/>
      <c r="J624" s="14"/>
    </row>
    <row r="625">
      <c r="B625" s="11"/>
      <c r="J625" s="14"/>
    </row>
    <row r="626">
      <c r="B626" s="11"/>
      <c r="J626" s="14"/>
    </row>
    <row r="627">
      <c r="B627" s="11"/>
      <c r="J627" s="14"/>
    </row>
    <row r="628">
      <c r="B628" s="11"/>
      <c r="J628" s="14"/>
    </row>
    <row r="629">
      <c r="B629" s="11"/>
      <c r="J629" s="14"/>
    </row>
    <row r="630">
      <c r="B630" s="11"/>
      <c r="J630" s="14"/>
    </row>
    <row r="631">
      <c r="B631" s="11"/>
      <c r="J631" s="14"/>
    </row>
    <row r="632">
      <c r="B632" s="11"/>
      <c r="J632" s="14"/>
    </row>
    <row r="633">
      <c r="B633" s="11"/>
      <c r="J633" s="14"/>
    </row>
    <row r="634">
      <c r="B634" s="11"/>
      <c r="J634" s="14"/>
    </row>
    <row r="635">
      <c r="B635" s="11"/>
      <c r="J635" s="14"/>
    </row>
    <row r="636">
      <c r="B636" s="11"/>
      <c r="J636" s="14"/>
    </row>
    <row r="637">
      <c r="B637" s="11"/>
      <c r="J637" s="14"/>
    </row>
    <row r="638">
      <c r="B638" s="11"/>
      <c r="J638" s="14"/>
    </row>
    <row r="639">
      <c r="B639" s="11"/>
      <c r="J639" s="14"/>
    </row>
    <row r="640">
      <c r="B640" s="11"/>
      <c r="J640" s="14"/>
    </row>
    <row r="641">
      <c r="B641" s="11"/>
      <c r="J641" s="14"/>
    </row>
    <row r="642">
      <c r="B642" s="11"/>
      <c r="J642" s="14"/>
    </row>
    <row r="643">
      <c r="B643" s="11"/>
      <c r="J643" s="14"/>
    </row>
    <row r="644">
      <c r="B644" s="11"/>
      <c r="J644" s="14"/>
    </row>
    <row r="645">
      <c r="B645" s="11"/>
      <c r="J645" s="14"/>
    </row>
    <row r="646">
      <c r="B646" s="11"/>
      <c r="J646" s="14"/>
    </row>
    <row r="647">
      <c r="B647" s="11"/>
      <c r="J647" s="14"/>
    </row>
    <row r="648">
      <c r="B648" s="11"/>
      <c r="J648" s="14"/>
    </row>
    <row r="649">
      <c r="B649" s="11"/>
      <c r="J649" s="14"/>
    </row>
    <row r="650">
      <c r="B650" s="11"/>
      <c r="J650" s="14"/>
    </row>
    <row r="651">
      <c r="B651" s="11"/>
      <c r="J651" s="14"/>
    </row>
    <row r="652">
      <c r="B652" s="11"/>
      <c r="J652" s="14"/>
    </row>
    <row r="653">
      <c r="B653" s="11"/>
      <c r="J653" s="14"/>
    </row>
    <row r="654">
      <c r="B654" s="11"/>
      <c r="J654" s="14"/>
    </row>
    <row r="655">
      <c r="B655" s="11"/>
      <c r="J655" s="14"/>
    </row>
    <row r="656">
      <c r="B656" s="11"/>
      <c r="J656" s="14"/>
    </row>
    <row r="657">
      <c r="B657" s="11"/>
      <c r="J657" s="14"/>
    </row>
    <row r="658">
      <c r="B658" s="11"/>
      <c r="J658" s="14"/>
    </row>
    <row r="659">
      <c r="B659" s="11"/>
      <c r="J659" s="14"/>
    </row>
    <row r="660">
      <c r="B660" s="11"/>
      <c r="J660" s="14"/>
    </row>
    <row r="661">
      <c r="B661" s="11"/>
      <c r="J661" s="14"/>
    </row>
    <row r="662">
      <c r="B662" s="11"/>
      <c r="J662" s="14"/>
    </row>
    <row r="663">
      <c r="B663" s="11"/>
      <c r="J663" s="14"/>
    </row>
    <row r="664">
      <c r="B664" s="11"/>
      <c r="J664" s="14"/>
    </row>
    <row r="665">
      <c r="B665" s="11"/>
      <c r="J665" s="14"/>
    </row>
    <row r="666">
      <c r="B666" s="11"/>
      <c r="J666" s="14"/>
    </row>
    <row r="667">
      <c r="B667" s="11"/>
      <c r="J667" s="14"/>
    </row>
    <row r="668">
      <c r="B668" s="11"/>
      <c r="J668" s="14"/>
    </row>
    <row r="669">
      <c r="B669" s="11"/>
      <c r="J669" s="14"/>
    </row>
    <row r="670">
      <c r="B670" s="11"/>
      <c r="J670" s="14"/>
    </row>
    <row r="671">
      <c r="B671" s="11"/>
      <c r="J671" s="14"/>
    </row>
    <row r="672">
      <c r="B672" s="11"/>
      <c r="J672" s="14"/>
    </row>
    <row r="673">
      <c r="B673" s="11"/>
      <c r="J673" s="14"/>
    </row>
    <row r="674">
      <c r="B674" s="11"/>
      <c r="J674" s="14"/>
    </row>
    <row r="675">
      <c r="B675" s="11"/>
      <c r="J675" s="14"/>
    </row>
    <row r="676">
      <c r="B676" s="11"/>
      <c r="J676" s="14"/>
    </row>
    <row r="677">
      <c r="B677" s="11"/>
      <c r="J677" s="14"/>
    </row>
    <row r="678">
      <c r="B678" s="11"/>
      <c r="J678" s="14"/>
    </row>
    <row r="679">
      <c r="B679" s="11"/>
      <c r="J679" s="14"/>
    </row>
    <row r="680">
      <c r="B680" s="11"/>
      <c r="J680" s="14"/>
    </row>
    <row r="681">
      <c r="B681" s="11"/>
      <c r="J681" s="14"/>
    </row>
    <row r="682">
      <c r="B682" s="11"/>
      <c r="J682" s="14"/>
    </row>
    <row r="683">
      <c r="B683" s="11"/>
      <c r="J683" s="14"/>
    </row>
    <row r="684">
      <c r="B684" s="11"/>
      <c r="J684" s="14"/>
    </row>
    <row r="685">
      <c r="B685" s="11"/>
      <c r="J685" s="14"/>
    </row>
    <row r="686">
      <c r="B686" s="11"/>
      <c r="J686" s="14"/>
    </row>
    <row r="687">
      <c r="B687" s="11"/>
      <c r="J687" s="14"/>
    </row>
    <row r="688">
      <c r="B688" s="11"/>
      <c r="J688" s="14"/>
    </row>
    <row r="689">
      <c r="B689" s="11"/>
      <c r="J689" s="14"/>
    </row>
    <row r="690">
      <c r="B690" s="11"/>
      <c r="J690" s="14"/>
    </row>
    <row r="691">
      <c r="B691" s="11"/>
      <c r="J691" s="14"/>
    </row>
    <row r="692">
      <c r="B692" s="11"/>
      <c r="J692" s="14"/>
    </row>
    <row r="693">
      <c r="B693" s="11"/>
      <c r="J693" s="14"/>
    </row>
    <row r="694">
      <c r="B694" s="11"/>
      <c r="J694" s="14"/>
    </row>
    <row r="695">
      <c r="B695" s="11"/>
      <c r="J695" s="14"/>
    </row>
    <row r="696">
      <c r="B696" s="11"/>
      <c r="J696" s="14"/>
    </row>
    <row r="697">
      <c r="B697" s="11"/>
      <c r="J697" s="14"/>
    </row>
    <row r="698">
      <c r="B698" s="11"/>
      <c r="J698" s="14"/>
    </row>
    <row r="699">
      <c r="B699" s="11"/>
      <c r="J699" s="14"/>
    </row>
    <row r="700">
      <c r="B700" s="11"/>
      <c r="J700" s="14"/>
    </row>
    <row r="701">
      <c r="B701" s="11"/>
      <c r="J701" s="14"/>
    </row>
    <row r="702">
      <c r="B702" s="11"/>
      <c r="J702" s="14"/>
    </row>
    <row r="703">
      <c r="B703" s="11"/>
      <c r="J703" s="14"/>
    </row>
    <row r="704">
      <c r="B704" s="11"/>
      <c r="J704" s="14"/>
    </row>
    <row r="705">
      <c r="B705" s="11"/>
      <c r="J705" s="14"/>
    </row>
    <row r="706">
      <c r="B706" s="11"/>
      <c r="J706" s="14"/>
    </row>
    <row r="707">
      <c r="B707" s="11"/>
      <c r="J707" s="14"/>
    </row>
    <row r="708">
      <c r="B708" s="11"/>
      <c r="J708" s="14"/>
    </row>
    <row r="709">
      <c r="B709" s="11"/>
      <c r="J709" s="14"/>
    </row>
    <row r="710">
      <c r="B710" s="11"/>
      <c r="J710" s="14"/>
    </row>
    <row r="711">
      <c r="B711" s="11"/>
      <c r="J711" s="14"/>
    </row>
    <row r="712">
      <c r="B712" s="11"/>
      <c r="J712" s="14"/>
    </row>
    <row r="713">
      <c r="B713" s="11"/>
      <c r="J713" s="14"/>
    </row>
    <row r="714">
      <c r="B714" s="11"/>
      <c r="J714" s="14"/>
    </row>
    <row r="715">
      <c r="B715" s="11"/>
      <c r="J715" s="14"/>
    </row>
    <row r="716">
      <c r="B716" s="11"/>
      <c r="J716" s="14"/>
    </row>
    <row r="717">
      <c r="B717" s="11"/>
      <c r="J717" s="14"/>
    </row>
    <row r="718">
      <c r="B718" s="11"/>
      <c r="J718" s="14"/>
    </row>
    <row r="719">
      <c r="B719" s="11"/>
      <c r="J719" s="14"/>
    </row>
    <row r="720">
      <c r="B720" s="11"/>
      <c r="J720" s="14"/>
    </row>
    <row r="721">
      <c r="B721" s="11"/>
      <c r="J721" s="14"/>
    </row>
    <row r="722">
      <c r="B722" s="11"/>
      <c r="J722" s="14"/>
    </row>
    <row r="723">
      <c r="B723" s="11"/>
      <c r="J723" s="14"/>
    </row>
    <row r="724">
      <c r="B724" s="11"/>
      <c r="J724" s="14"/>
    </row>
    <row r="725">
      <c r="B725" s="11"/>
      <c r="J725" s="14"/>
    </row>
    <row r="726">
      <c r="B726" s="11"/>
      <c r="J726" s="14"/>
    </row>
    <row r="727">
      <c r="B727" s="11"/>
      <c r="J727" s="14"/>
    </row>
    <row r="728">
      <c r="B728" s="11"/>
      <c r="J728" s="14"/>
    </row>
    <row r="729">
      <c r="B729" s="11"/>
      <c r="J729" s="14"/>
    </row>
    <row r="730">
      <c r="B730" s="11"/>
      <c r="J730" s="14"/>
    </row>
    <row r="731">
      <c r="B731" s="11"/>
      <c r="J731" s="14"/>
    </row>
    <row r="732">
      <c r="B732" s="11"/>
      <c r="J732" s="14"/>
    </row>
    <row r="733">
      <c r="B733" s="11"/>
      <c r="J733" s="14"/>
    </row>
    <row r="734">
      <c r="B734" s="11"/>
      <c r="J734" s="14"/>
    </row>
    <row r="735">
      <c r="B735" s="11"/>
      <c r="J735" s="14"/>
    </row>
    <row r="736">
      <c r="B736" s="11"/>
      <c r="J736" s="14"/>
    </row>
    <row r="737">
      <c r="B737" s="11"/>
      <c r="J737" s="14"/>
    </row>
    <row r="738">
      <c r="B738" s="11"/>
      <c r="J738" s="14"/>
    </row>
    <row r="739">
      <c r="B739" s="11"/>
      <c r="J739" s="14"/>
    </row>
    <row r="740">
      <c r="B740" s="11"/>
      <c r="J740" s="14"/>
    </row>
    <row r="741">
      <c r="B741" s="11"/>
      <c r="J741" s="14"/>
    </row>
    <row r="742">
      <c r="B742" s="11"/>
      <c r="J742" s="14"/>
    </row>
    <row r="743">
      <c r="B743" s="11"/>
      <c r="J743" s="14"/>
    </row>
    <row r="744">
      <c r="B744" s="11"/>
      <c r="J744" s="14"/>
    </row>
    <row r="745">
      <c r="B745" s="11"/>
      <c r="J745" s="14"/>
    </row>
    <row r="746">
      <c r="B746" s="11"/>
      <c r="J746" s="14"/>
    </row>
    <row r="747">
      <c r="B747" s="11"/>
      <c r="J747" s="14"/>
    </row>
    <row r="748">
      <c r="B748" s="11"/>
      <c r="J748" s="14"/>
    </row>
    <row r="749">
      <c r="B749" s="11"/>
      <c r="J749" s="14"/>
    </row>
    <row r="750">
      <c r="B750" s="11"/>
      <c r="J750" s="14"/>
    </row>
    <row r="751">
      <c r="B751" s="11"/>
      <c r="J751" s="14"/>
    </row>
    <row r="752">
      <c r="B752" s="11"/>
      <c r="J752" s="14"/>
    </row>
    <row r="753">
      <c r="B753" s="11"/>
      <c r="J753" s="14"/>
    </row>
    <row r="754">
      <c r="B754" s="11"/>
      <c r="J754" s="14"/>
    </row>
    <row r="755">
      <c r="B755" s="11"/>
      <c r="J755" s="14"/>
    </row>
    <row r="756">
      <c r="B756" s="11"/>
      <c r="J756" s="14"/>
    </row>
    <row r="757">
      <c r="B757" s="11"/>
      <c r="J757" s="14"/>
    </row>
    <row r="758">
      <c r="B758" s="11"/>
      <c r="J758" s="14"/>
    </row>
    <row r="759">
      <c r="B759" s="11"/>
      <c r="J759" s="14"/>
    </row>
    <row r="760">
      <c r="B760" s="11"/>
      <c r="J760" s="14"/>
    </row>
    <row r="761">
      <c r="B761" s="11"/>
      <c r="J761" s="14"/>
    </row>
    <row r="762">
      <c r="B762" s="11"/>
      <c r="J762" s="14"/>
    </row>
    <row r="763">
      <c r="B763" s="11"/>
      <c r="J763" s="14"/>
    </row>
    <row r="764">
      <c r="B764" s="11"/>
      <c r="J764" s="14"/>
    </row>
    <row r="765">
      <c r="B765" s="11"/>
      <c r="J765" s="14"/>
    </row>
    <row r="766">
      <c r="B766" s="11"/>
      <c r="J766" s="14"/>
    </row>
    <row r="767">
      <c r="B767" s="11"/>
      <c r="J767" s="14"/>
    </row>
    <row r="768">
      <c r="B768" s="11"/>
      <c r="J768" s="14"/>
    </row>
    <row r="769">
      <c r="B769" s="11"/>
      <c r="J769" s="14"/>
    </row>
    <row r="770">
      <c r="B770" s="11"/>
      <c r="J770" s="14"/>
    </row>
    <row r="771">
      <c r="B771" s="11"/>
      <c r="J771" s="14"/>
    </row>
    <row r="772">
      <c r="B772" s="11"/>
      <c r="J772" s="14"/>
    </row>
    <row r="773">
      <c r="B773" s="11"/>
      <c r="J773" s="14"/>
    </row>
    <row r="774">
      <c r="B774" s="11"/>
      <c r="J774" s="14"/>
    </row>
    <row r="775">
      <c r="B775" s="11"/>
      <c r="J775" s="14"/>
    </row>
    <row r="776">
      <c r="B776" s="11"/>
      <c r="J776" s="14"/>
    </row>
    <row r="777">
      <c r="B777" s="11"/>
      <c r="J777" s="14"/>
    </row>
    <row r="778">
      <c r="B778" s="11"/>
      <c r="J778" s="14"/>
    </row>
    <row r="779">
      <c r="B779" s="11"/>
      <c r="J779" s="14"/>
    </row>
    <row r="780">
      <c r="B780" s="11"/>
      <c r="J780" s="14"/>
    </row>
    <row r="781">
      <c r="B781" s="11"/>
      <c r="J781" s="14"/>
    </row>
    <row r="782">
      <c r="B782" s="11"/>
      <c r="J782" s="14"/>
    </row>
    <row r="783">
      <c r="B783" s="11"/>
      <c r="J783" s="14"/>
    </row>
    <row r="784">
      <c r="B784" s="11"/>
      <c r="J784" s="14"/>
    </row>
    <row r="785">
      <c r="B785" s="11"/>
      <c r="J785" s="14"/>
    </row>
    <row r="786">
      <c r="B786" s="11"/>
      <c r="J786" s="14"/>
    </row>
    <row r="787">
      <c r="B787" s="11"/>
      <c r="J787" s="14"/>
    </row>
    <row r="788">
      <c r="B788" s="11"/>
      <c r="J788" s="14"/>
    </row>
    <row r="789">
      <c r="B789" s="11"/>
      <c r="J789" s="14"/>
    </row>
    <row r="790">
      <c r="B790" s="11"/>
      <c r="J790" s="14"/>
    </row>
    <row r="791">
      <c r="B791" s="11"/>
      <c r="J791" s="14"/>
    </row>
    <row r="792">
      <c r="B792" s="11"/>
      <c r="J792" s="14"/>
    </row>
    <row r="793">
      <c r="B793" s="11"/>
      <c r="J793" s="14"/>
    </row>
    <row r="794">
      <c r="B794" s="11"/>
      <c r="J794" s="14"/>
    </row>
    <row r="795">
      <c r="B795" s="11"/>
      <c r="J795" s="14"/>
    </row>
    <row r="796">
      <c r="B796" s="11"/>
      <c r="J796" s="14"/>
    </row>
    <row r="797">
      <c r="B797" s="11"/>
      <c r="J797" s="14"/>
    </row>
    <row r="798">
      <c r="B798" s="11"/>
      <c r="J798" s="14"/>
    </row>
    <row r="799">
      <c r="B799" s="11"/>
      <c r="J799" s="14"/>
    </row>
    <row r="800">
      <c r="B800" s="11"/>
      <c r="J800" s="14"/>
    </row>
    <row r="801">
      <c r="B801" s="11"/>
      <c r="J801" s="14"/>
    </row>
    <row r="802">
      <c r="B802" s="11"/>
      <c r="J802" s="14"/>
    </row>
    <row r="803">
      <c r="B803" s="11"/>
      <c r="J803" s="14"/>
    </row>
    <row r="804">
      <c r="B804" s="11"/>
      <c r="J804" s="14"/>
    </row>
    <row r="805">
      <c r="B805" s="11"/>
      <c r="J805" s="14"/>
    </row>
    <row r="806">
      <c r="B806" s="11"/>
      <c r="J806" s="14"/>
    </row>
    <row r="807">
      <c r="B807" s="11"/>
      <c r="J807" s="14"/>
    </row>
    <row r="808">
      <c r="B808" s="11"/>
      <c r="J808" s="14"/>
    </row>
    <row r="809">
      <c r="B809" s="11"/>
      <c r="J809" s="14"/>
    </row>
    <row r="810">
      <c r="B810" s="11"/>
      <c r="J810" s="14"/>
    </row>
    <row r="811">
      <c r="B811" s="11"/>
      <c r="J811" s="14"/>
    </row>
    <row r="812">
      <c r="B812" s="11"/>
      <c r="J812" s="14"/>
    </row>
    <row r="813">
      <c r="B813" s="11"/>
      <c r="J813" s="14"/>
    </row>
    <row r="814">
      <c r="B814" s="11"/>
      <c r="J814" s="14"/>
    </row>
    <row r="815">
      <c r="B815" s="11"/>
      <c r="J815" s="14"/>
    </row>
    <row r="816">
      <c r="B816" s="11"/>
      <c r="J816" s="14"/>
    </row>
    <row r="817">
      <c r="B817" s="11"/>
      <c r="J817" s="14"/>
    </row>
    <row r="818">
      <c r="B818" s="11"/>
      <c r="J818" s="14"/>
    </row>
    <row r="819">
      <c r="B819" s="11"/>
      <c r="J819" s="14"/>
    </row>
    <row r="820">
      <c r="B820" s="11"/>
      <c r="J820" s="14"/>
    </row>
    <row r="821">
      <c r="B821" s="11"/>
      <c r="J821" s="14"/>
    </row>
    <row r="822">
      <c r="B822" s="11"/>
      <c r="J822" s="14"/>
    </row>
    <row r="823">
      <c r="B823" s="11"/>
      <c r="J823" s="14"/>
    </row>
    <row r="824">
      <c r="B824" s="11"/>
      <c r="J824" s="14"/>
    </row>
    <row r="825">
      <c r="B825" s="11"/>
      <c r="J825" s="14"/>
    </row>
    <row r="826">
      <c r="B826" s="11"/>
      <c r="J826" s="14"/>
    </row>
    <row r="827">
      <c r="B827" s="11"/>
      <c r="J827" s="14"/>
    </row>
    <row r="828">
      <c r="B828" s="11"/>
      <c r="J828" s="14"/>
    </row>
    <row r="829">
      <c r="B829" s="11"/>
      <c r="J829" s="14"/>
    </row>
    <row r="830">
      <c r="B830" s="11"/>
      <c r="J830" s="14"/>
    </row>
    <row r="831">
      <c r="B831" s="11"/>
      <c r="J831" s="14"/>
    </row>
    <row r="832">
      <c r="B832" s="11"/>
      <c r="J832" s="14"/>
    </row>
    <row r="833">
      <c r="B833" s="11"/>
      <c r="J833" s="14"/>
    </row>
    <row r="834">
      <c r="B834" s="11"/>
      <c r="J834" s="14"/>
    </row>
    <row r="835">
      <c r="B835" s="11"/>
      <c r="J835" s="14"/>
    </row>
    <row r="836">
      <c r="B836" s="11"/>
      <c r="J836" s="14"/>
    </row>
    <row r="837">
      <c r="B837" s="11"/>
      <c r="J837" s="14"/>
    </row>
    <row r="838">
      <c r="B838" s="11"/>
      <c r="J838" s="14"/>
    </row>
    <row r="839">
      <c r="B839" s="11"/>
      <c r="J839" s="14"/>
    </row>
    <row r="840">
      <c r="B840" s="11"/>
      <c r="J840" s="14"/>
    </row>
    <row r="841">
      <c r="B841" s="11"/>
      <c r="J841" s="14"/>
    </row>
    <row r="842">
      <c r="B842" s="11"/>
      <c r="J842" s="14"/>
    </row>
    <row r="843">
      <c r="B843" s="11"/>
      <c r="J843" s="14"/>
    </row>
    <row r="844">
      <c r="B844" s="11"/>
      <c r="J844" s="14"/>
    </row>
    <row r="845">
      <c r="B845" s="11"/>
      <c r="J845" s="14"/>
    </row>
    <row r="846">
      <c r="B846" s="11"/>
      <c r="J846" s="14"/>
    </row>
    <row r="847">
      <c r="B847" s="11"/>
      <c r="J847" s="14"/>
    </row>
    <row r="848">
      <c r="B848" s="11"/>
      <c r="J848" s="14"/>
    </row>
    <row r="849">
      <c r="B849" s="11"/>
      <c r="J849" s="14"/>
    </row>
    <row r="850">
      <c r="B850" s="11"/>
      <c r="J850" s="14"/>
    </row>
    <row r="851">
      <c r="B851" s="11"/>
      <c r="J851" s="14"/>
    </row>
    <row r="852">
      <c r="B852" s="11"/>
      <c r="J852" s="14"/>
    </row>
    <row r="853">
      <c r="B853" s="11"/>
      <c r="J853" s="14"/>
    </row>
    <row r="854">
      <c r="B854" s="11"/>
      <c r="J854" s="14"/>
    </row>
    <row r="855">
      <c r="B855" s="11"/>
      <c r="J855" s="14"/>
    </row>
    <row r="856">
      <c r="B856" s="11"/>
      <c r="J856" s="14"/>
    </row>
    <row r="857">
      <c r="B857" s="11"/>
      <c r="J857" s="14"/>
    </row>
    <row r="858">
      <c r="B858" s="11"/>
      <c r="J858" s="14"/>
    </row>
    <row r="859">
      <c r="B859" s="11"/>
      <c r="J859" s="14"/>
    </row>
    <row r="860">
      <c r="B860" s="11"/>
      <c r="J860" s="14"/>
    </row>
    <row r="861">
      <c r="B861" s="11"/>
      <c r="J861" s="14"/>
    </row>
    <row r="862">
      <c r="B862" s="11"/>
      <c r="J862" s="14"/>
    </row>
    <row r="863">
      <c r="B863" s="11"/>
      <c r="J863" s="14"/>
    </row>
    <row r="864">
      <c r="B864" s="11"/>
      <c r="J864" s="14"/>
    </row>
    <row r="865">
      <c r="B865" s="11"/>
      <c r="J865" s="14"/>
    </row>
    <row r="866">
      <c r="B866" s="11"/>
      <c r="J866" s="14"/>
    </row>
    <row r="867">
      <c r="B867" s="11"/>
      <c r="J867" s="14"/>
    </row>
    <row r="868">
      <c r="B868" s="11"/>
      <c r="J868" s="14"/>
    </row>
    <row r="869">
      <c r="B869" s="11"/>
      <c r="J869" s="14"/>
    </row>
    <row r="870">
      <c r="B870" s="11"/>
      <c r="J870" s="14"/>
    </row>
    <row r="871">
      <c r="B871" s="11"/>
      <c r="J871" s="14"/>
    </row>
    <row r="872">
      <c r="B872" s="11"/>
      <c r="J872" s="14"/>
    </row>
    <row r="873">
      <c r="B873" s="11"/>
      <c r="J873" s="14"/>
    </row>
    <row r="874">
      <c r="B874" s="11"/>
      <c r="J874" s="14"/>
    </row>
    <row r="875">
      <c r="B875" s="11"/>
      <c r="J875" s="14"/>
    </row>
    <row r="876">
      <c r="B876" s="11"/>
      <c r="J876" s="14"/>
    </row>
    <row r="877">
      <c r="B877" s="11"/>
      <c r="J877" s="14"/>
    </row>
    <row r="878">
      <c r="B878" s="11"/>
      <c r="J878" s="14"/>
    </row>
    <row r="879">
      <c r="B879" s="11"/>
      <c r="J879" s="14"/>
    </row>
    <row r="880">
      <c r="B880" s="11"/>
      <c r="J880" s="14"/>
    </row>
    <row r="881">
      <c r="B881" s="11"/>
      <c r="J881" s="14"/>
    </row>
    <row r="882">
      <c r="B882" s="11"/>
      <c r="J882" s="14"/>
    </row>
    <row r="883">
      <c r="B883" s="11"/>
      <c r="J883" s="14"/>
    </row>
    <row r="884">
      <c r="B884" s="11"/>
      <c r="J884" s="14"/>
    </row>
    <row r="885">
      <c r="B885" s="11"/>
      <c r="J885" s="14"/>
    </row>
    <row r="886">
      <c r="B886" s="11"/>
      <c r="J886" s="14"/>
    </row>
    <row r="887">
      <c r="B887" s="11"/>
      <c r="J887" s="14"/>
    </row>
    <row r="888">
      <c r="B888" s="11"/>
      <c r="J888" s="14"/>
    </row>
    <row r="889">
      <c r="B889" s="11"/>
      <c r="J889" s="14"/>
    </row>
    <row r="890">
      <c r="B890" s="11"/>
      <c r="J890" s="14"/>
    </row>
    <row r="891">
      <c r="B891" s="11"/>
      <c r="J891" s="14"/>
    </row>
    <row r="892">
      <c r="B892" s="11"/>
      <c r="J892" s="14"/>
    </row>
    <row r="893">
      <c r="B893" s="11"/>
      <c r="J893" s="14"/>
    </row>
    <row r="894">
      <c r="B894" s="11"/>
      <c r="J894" s="14"/>
    </row>
    <row r="895">
      <c r="B895" s="11"/>
      <c r="J895" s="14"/>
    </row>
    <row r="896">
      <c r="B896" s="11"/>
      <c r="J896" s="14"/>
    </row>
    <row r="897">
      <c r="B897" s="11"/>
      <c r="J897" s="14"/>
    </row>
    <row r="898">
      <c r="B898" s="11"/>
      <c r="J898" s="14"/>
    </row>
    <row r="899">
      <c r="B899" s="11"/>
      <c r="J899" s="14"/>
    </row>
    <row r="900">
      <c r="B900" s="11"/>
      <c r="J900" s="14"/>
    </row>
    <row r="901">
      <c r="B901" s="11"/>
      <c r="J901" s="14"/>
    </row>
    <row r="902">
      <c r="B902" s="11"/>
      <c r="J902" s="14"/>
    </row>
    <row r="903">
      <c r="B903" s="11"/>
      <c r="J903" s="14"/>
    </row>
    <row r="904">
      <c r="B904" s="11"/>
      <c r="J904" s="14"/>
    </row>
    <row r="905">
      <c r="B905" s="11"/>
      <c r="J905" s="14"/>
    </row>
    <row r="906">
      <c r="B906" s="11"/>
      <c r="J906" s="14"/>
    </row>
    <row r="907">
      <c r="B907" s="11"/>
      <c r="J907" s="14"/>
    </row>
    <row r="908">
      <c r="B908" s="11"/>
      <c r="J908" s="14"/>
    </row>
    <row r="909">
      <c r="B909" s="11"/>
      <c r="J909" s="14"/>
    </row>
    <row r="910">
      <c r="B910" s="11"/>
      <c r="J910" s="14"/>
    </row>
    <row r="911">
      <c r="B911" s="11"/>
      <c r="J911" s="14"/>
    </row>
    <row r="912">
      <c r="B912" s="11"/>
      <c r="J912" s="14"/>
    </row>
    <row r="913">
      <c r="B913" s="11"/>
      <c r="J913" s="14"/>
    </row>
    <row r="914">
      <c r="B914" s="11"/>
      <c r="J914" s="14"/>
    </row>
    <row r="915">
      <c r="B915" s="11"/>
      <c r="J915" s="14"/>
    </row>
    <row r="916">
      <c r="B916" s="11"/>
      <c r="J916" s="14"/>
    </row>
    <row r="917">
      <c r="B917" s="11"/>
      <c r="J917" s="14"/>
    </row>
    <row r="918">
      <c r="B918" s="11"/>
      <c r="J918" s="14"/>
    </row>
    <row r="919">
      <c r="B919" s="11"/>
      <c r="J919" s="14"/>
    </row>
    <row r="920">
      <c r="B920" s="11"/>
      <c r="J920" s="14"/>
    </row>
    <row r="921">
      <c r="B921" s="11"/>
      <c r="J921" s="14"/>
    </row>
    <row r="922">
      <c r="B922" s="11"/>
      <c r="J922" s="14"/>
    </row>
    <row r="923">
      <c r="B923" s="11"/>
      <c r="J923" s="14"/>
    </row>
    <row r="924">
      <c r="B924" s="11"/>
      <c r="J924" s="14"/>
    </row>
    <row r="925">
      <c r="B925" s="11"/>
      <c r="J925" s="14"/>
    </row>
    <row r="926">
      <c r="B926" s="11"/>
      <c r="J926" s="14"/>
    </row>
    <row r="927">
      <c r="B927" s="11"/>
      <c r="J927" s="14"/>
    </row>
    <row r="928">
      <c r="B928" s="11"/>
      <c r="J928" s="14"/>
    </row>
    <row r="929">
      <c r="B929" s="11"/>
      <c r="J929" s="14"/>
    </row>
    <row r="930">
      <c r="B930" s="11"/>
      <c r="J930" s="14"/>
    </row>
    <row r="931">
      <c r="B931" s="11"/>
      <c r="J931" s="14"/>
    </row>
    <row r="932">
      <c r="B932" s="11"/>
      <c r="J932" s="14"/>
    </row>
    <row r="933">
      <c r="B933" s="11"/>
      <c r="J933" s="14"/>
    </row>
    <row r="934">
      <c r="B934" s="11"/>
      <c r="J934" s="14"/>
    </row>
    <row r="935">
      <c r="B935" s="11"/>
      <c r="J935" s="14"/>
    </row>
    <row r="936">
      <c r="B936" s="11"/>
      <c r="J936" s="14"/>
    </row>
    <row r="937">
      <c r="B937" s="11"/>
      <c r="J937" s="14"/>
    </row>
    <row r="938">
      <c r="B938" s="11"/>
      <c r="J938" s="14"/>
    </row>
    <row r="939">
      <c r="B939" s="11"/>
      <c r="J939" s="14"/>
    </row>
    <row r="940">
      <c r="B940" s="11"/>
      <c r="J940" s="14"/>
    </row>
    <row r="941">
      <c r="B941" s="11"/>
      <c r="J941" s="14"/>
    </row>
    <row r="942">
      <c r="B942" s="11"/>
      <c r="J942" s="14"/>
    </row>
    <row r="943">
      <c r="B943" s="11"/>
      <c r="J943" s="14"/>
    </row>
    <row r="944">
      <c r="B944" s="11"/>
      <c r="J944" s="14"/>
    </row>
    <row r="945">
      <c r="B945" s="11"/>
      <c r="J945" s="14"/>
    </row>
    <row r="946">
      <c r="B946" s="11"/>
      <c r="J946" s="14"/>
    </row>
    <row r="947">
      <c r="B947" s="11"/>
      <c r="J947" s="14"/>
    </row>
    <row r="948">
      <c r="B948" s="11"/>
      <c r="J948" s="14"/>
    </row>
    <row r="949">
      <c r="B949" s="11"/>
      <c r="J949" s="14"/>
    </row>
    <row r="950">
      <c r="B950" s="11"/>
      <c r="J950" s="14"/>
    </row>
    <row r="951">
      <c r="B951" s="11"/>
      <c r="J951" s="14"/>
    </row>
    <row r="952">
      <c r="B952" s="11"/>
      <c r="J952" s="14"/>
    </row>
    <row r="953">
      <c r="B953" s="11"/>
      <c r="J953" s="14"/>
    </row>
    <row r="954">
      <c r="B954" s="11"/>
      <c r="J954" s="14"/>
    </row>
    <row r="955">
      <c r="B955" s="11"/>
      <c r="J955" s="14"/>
    </row>
    <row r="956">
      <c r="B956" s="11"/>
      <c r="J956" s="14"/>
    </row>
    <row r="957">
      <c r="B957" s="11"/>
      <c r="J957" s="14"/>
    </row>
    <row r="958">
      <c r="B958" s="11"/>
      <c r="J958" s="14"/>
    </row>
    <row r="959">
      <c r="B959" s="11"/>
      <c r="J959" s="14"/>
    </row>
    <row r="960">
      <c r="B960" s="11"/>
      <c r="J960" s="14"/>
    </row>
    <row r="961">
      <c r="B961" s="11"/>
      <c r="J961" s="14"/>
    </row>
    <row r="962">
      <c r="B962" s="11"/>
      <c r="J962" s="14"/>
    </row>
    <row r="963">
      <c r="B963" s="11"/>
      <c r="J963" s="14"/>
    </row>
    <row r="964">
      <c r="B964" s="11"/>
      <c r="J964" s="14"/>
    </row>
    <row r="965">
      <c r="B965" s="11"/>
      <c r="J965" s="14"/>
    </row>
    <row r="966">
      <c r="B966" s="11"/>
      <c r="J966" s="14"/>
    </row>
    <row r="967">
      <c r="B967" s="11"/>
      <c r="J967" s="14"/>
    </row>
    <row r="968">
      <c r="B968" s="11"/>
      <c r="J968" s="14"/>
    </row>
    <row r="969">
      <c r="B969" s="11"/>
      <c r="J969" s="14"/>
    </row>
    <row r="970">
      <c r="B970" s="11"/>
      <c r="J970" s="14"/>
    </row>
    <row r="971">
      <c r="B971" s="11"/>
      <c r="J971" s="14"/>
    </row>
    <row r="972">
      <c r="B972" s="11"/>
      <c r="J972" s="14"/>
    </row>
    <row r="973">
      <c r="B973" s="11"/>
      <c r="J973" s="14"/>
    </row>
    <row r="974">
      <c r="B974" s="11"/>
      <c r="J974" s="14"/>
    </row>
    <row r="975">
      <c r="B975" s="11"/>
      <c r="J975" s="14"/>
    </row>
    <row r="976">
      <c r="B976" s="11"/>
      <c r="J976" s="14"/>
    </row>
    <row r="977">
      <c r="B977" s="11"/>
      <c r="J977" s="14"/>
    </row>
    <row r="978">
      <c r="B978" s="11"/>
      <c r="J978" s="14"/>
    </row>
    <row r="979">
      <c r="B979" s="11"/>
      <c r="J979" s="14"/>
    </row>
    <row r="980">
      <c r="B980" s="11"/>
      <c r="J980" s="14"/>
    </row>
    <row r="981">
      <c r="B981" s="11"/>
      <c r="J981" s="14"/>
    </row>
    <row r="982">
      <c r="B982" s="11"/>
      <c r="J982" s="14"/>
    </row>
    <row r="983">
      <c r="B983" s="11"/>
      <c r="J983" s="14"/>
    </row>
    <row r="984">
      <c r="B984" s="11"/>
      <c r="J984" s="14"/>
    </row>
    <row r="985">
      <c r="B985" s="11"/>
      <c r="J985" s="14"/>
    </row>
    <row r="986">
      <c r="B986" s="11"/>
      <c r="J986" s="14"/>
    </row>
    <row r="987">
      <c r="B987" s="11"/>
      <c r="J987" s="14"/>
    </row>
    <row r="988">
      <c r="B988" s="11"/>
      <c r="J988" s="14"/>
    </row>
    <row r="989">
      <c r="B989" s="11"/>
      <c r="J989" s="14"/>
    </row>
    <row r="990">
      <c r="B990" s="11"/>
      <c r="J990" s="14"/>
    </row>
    <row r="991">
      <c r="B991" s="11"/>
      <c r="J991" s="14"/>
    </row>
    <row r="992">
      <c r="B992" s="11"/>
      <c r="J992" s="14"/>
    </row>
    <row r="993">
      <c r="B993" s="11"/>
      <c r="J993" s="14"/>
    </row>
    <row r="994">
      <c r="B994" s="11"/>
      <c r="J994" s="14"/>
    </row>
    <row r="995">
      <c r="B995" s="11"/>
      <c r="J995" s="14"/>
    </row>
    <row r="996">
      <c r="B996" s="11"/>
      <c r="J996" s="14"/>
    </row>
    <row r="997">
      <c r="B997" s="11"/>
      <c r="J997" s="14"/>
    </row>
    <row r="998">
      <c r="B998" s="11"/>
      <c r="J998" s="14"/>
    </row>
    <row r="999">
      <c r="B999" s="11"/>
      <c r="J999" s="14"/>
    </row>
    <row r="1000">
      <c r="B1000" s="11"/>
      <c r="J1000" s="14"/>
    </row>
  </sheetData>
  <mergeCells count="1">
    <mergeCell ref="A2:A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10.78"/>
    <col customWidth="1" min="2" max="2" width="30.78"/>
    <col customWidth="1" min="3" max="3" width="78.22"/>
    <col customWidth="1" min="4" max="4" width="41.11"/>
    <col customWidth="1" min="5" max="5" width="29.22"/>
    <col customWidth="1" min="6" max="6" width="37.56"/>
    <col customWidth="1" min="7" max="7" width="36.44"/>
    <col customWidth="1" min="8" max="8" width="47.56"/>
    <col customWidth="1" min="9" max="9" width="21.89"/>
    <col customWidth="1" min="10" max="10" width="78.67"/>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616.5" customHeight="1">
      <c r="A2" s="23">
        <v>1.0</v>
      </c>
      <c r="B2" s="24" t="s">
        <v>382</v>
      </c>
      <c r="C2" s="24" t="s">
        <v>383</v>
      </c>
      <c r="D2" s="24" t="s">
        <v>384</v>
      </c>
      <c r="E2" s="24" t="s">
        <v>385</v>
      </c>
      <c r="F2" s="24" t="s">
        <v>386</v>
      </c>
      <c r="G2" s="24" t="s">
        <v>387</v>
      </c>
      <c r="H2" s="24" t="s">
        <v>388</v>
      </c>
      <c r="I2" s="25" t="s">
        <v>389</v>
      </c>
      <c r="J2" s="26" t="s">
        <v>390</v>
      </c>
      <c r="K2" s="24"/>
      <c r="L2" s="24"/>
      <c r="M2" s="24"/>
      <c r="N2" s="24"/>
      <c r="O2" s="24"/>
      <c r="P2" s="24"/>
      <c r="Q2" s="24"/>
      <c r="R2" s="24"/>
      <c r="S2" s="24"/>
      <c r="T2" s="22"/>
      <c r="U2" s="22"/>
      <c r="V2" s="22"/>
      <c r="W2" s="22"/>
      <c r="X2" s="22"/>
      <c r="Y2" s="22"/>
      <c r="Z2" s="22"/>
    </row>
    <row r="3" ht="456.0" customHeight="1">
      <c r="A3" s="27">
        <v>2.0</v>
      </c>
      <c r="B3" s="28" t="s">
        <v>391</v>
      </c>
      <c r="C3" s="24" t="s">
        <v>392</v>
      </c>
      <c r="D3" s="24" t="s">
        <v>393</v>
      </c>
      <c r="E3" s="24" t="s">
        <v>394</v>
      </c>
      <c r="F3" s="24" t="s">
        <v>395</v>
      </c>
      <c r="I3" s="22"/>
      <c r="K3" s="22"/>
      <c r="L3" s="22"/>
      <c r="M3" s="22"/>
      <c r="N3" s="22"/>
      <c r="O3" s="22"/>
      <c r="P3" s="22"/>
      <c r="Q3" s="22"/>
      <c r="R3" s="22"/>
      <c r="S3" s="22"/>
      <c r="T3" s="22"/>
      <c r="U3" s="22"/>
      <c r="V3" s="22"/>
      <c r="W3" s="22"/>
      <c r="X3" s="22"/>
      <c r="Y3" s="22"/>
      <c r="Z3" s="22"/>
    </row>
    <row r="4">
      <c r="C4" s="29" t="s">
        <v>396</v>
      </c>
      <c r="D4" s="5" t="s">
        <v>397</v>
      </c>
      <c r="E4" s="29" t="s">
        <v>398</v>
      </c>
      <c r="F4" s="29" t="s">
        <v>399</v>
      </c>
      <c r="G4" s="22"/>
      <c r="H4" s="22"/>
      <c r="I4" s="22"/>
      <c r="K4" s="22"/>
      <c r="L4" s="22"/>
      <c r="M4" s="22"/>
      <c r="N4" s="22"/>
      <c r="O4" s="22"/>
      <c r="P4" s="22"/>
      <c r="Q4" s="22"/>
      <c r="R4" s="22"/>
      <c r="S4" s="22"/>
      <c r="T4" s="22"/>
      <c r="U4" s="22"/>
      <c r="V4" s="22"/>
      <c r="W4" s="22"/>
      <c r="X4" s="22"/>
      <c r="Y4" s="22"/>
      <c r="Z4" s="22"/>
    </row>
    <row r="5">
      <c r="A5" s="27">
        <v>3.0</v>
      </c>
      <c r="B5" s="25" t="s">
        <v>400</v>
      </c>
      <c r="C5" s="30" t="s">
        <v>401</v>
      </c>
      <c r="D5" s="30" t="s">
        <v>402</v>
      </c>
      <c r="E5" s="5" t="s">
        <v>403</v>
      </c>
      <c r="F5" s="30" t="s">
        <v>404</v>
      </c>
      <c r="G5" s="22"/>
      <c r="H5" s="22"/>
      <c r="I5" s="22"/>
      <c r="K5" s="22"/>
      <c r="L5" s="22"/>
      <c r="M5" s="22"/>
      <c r="N5" s="22"/>
      <c r="O5" s="22"/>
      <c r="P5" s="22"/>
      <c r="Q5" s="22"/>
      <c r="R5" s="22"/>
      <c r="S5" s="22"/>
      <c r="T5" s="22"/>
      <c r="U5" s="22"/>
      <c r="V5" s="22"/>
      <c r="W5" s="22"/>
      <c r="X5" s="22"/>
      <c r="Y5" s="22"/>
      <c r="Z5" s="22"/>
    </row>
    <row r="6">
      <c r="A6" s="27">
        <v>4.0</v>
      </c>
      <c r="B6" s="5" t="s">
        <v>405</v>
      </c>
      <c r="C6" s="5" t="s">
        <v>406</v>
      </c>
      <c r="D6" s="30" t="s">
        <v>407</v>
      </c>
      <c r="E6" s="5" t="s">
        <v>408</v>
      </c>
      <c r="F6" s="30" t="s">
        <v>409</v>
      </c>
      <c r="G6" s="31"/>
      <c r="H6" s="31"/>
      <c r="I6" s="22"/>
      <c r="K6" s="22"/>
      <c r="L6" s="22"/>
      <c r="M6" s="22"/>
      <c r="N6" s="22"/>
      <c r="O6" s="22"/>
      <c r="P6" s="22"/>
      <c r="Q6" s="22"/>
      <c r="R6" s="22"/>
      <c r="S6" s="22"/>
      <c r="T6" s="22"/>
      <c r="U6" s="22"/>
      <c r="V6" s="22"/>
      <c r="W6" s="22"/>
      <c r="X6" s="22"/>
      <c r="Y6" s="22"/>
      <c r="Z6" s="22"/>
    </row>
    <row r="7">
      <c r="A7" s="5"/>
      <c r="B7" s="5" t="s">
        <v>410</v>
      </c>
      <c r="C7" s="5" t="s">
        <v>411</v>
      </c>
      <c r="D7" s="5" t="s">
        <v>412</v>
      </c>
      <c r="E7" s="5" t="s">
        <v>413</v>
      </c>
      <c r="F7" s="5" t="s">
        <v>414</v>
      </c>
      <c r="G7" s="5"/>
      <c r="H7" s="5"/>
      <c r="I7" s="5"/>
      <c r="K7" s="5"/>
      <c r="L7" s="5"/>
      <c r="M7" s="5"/>
      <c r="N7" s="5"/>
      <c r="O7" s="5"/>
      <c r="P7" s="5"/>
      <c r="Q7" s="5"/>
      <c r="R7" s="5"/>
      <c r="S7" s="5"/>
      <c r="T7" s="5"/>
      <c r="U7" s="5"/>
      <c r="V7" s="5"/>
      <c r="W7" s="5"/>
      <c r="X7" s="5"/>
      <c r="Y7" s="5"/>
      <c r="Z7" s="5"/>
    </row>
    <row r="8">
      <c r="A8" s="5"/>
      <c r="B8" s="5" t="s">
        <v>415</v>
      </c>
      <c r="C8" s="5" t="s">
        <v>416</v>
      </c>
      <c r="D8" s="5" t="s">
        <v>417</v>
      </c>
      <c r="E8" s="5" t="s">
        <v>418</v>
      </c>
      <c r="F8" s="5" t="s">
        <v>419</v>
      </c>
      <c r="H8" s="5"/>
      <c r="I8" s="5"/>
      <c r="K8" s="5"/>
      <c r="L8" s="5"/>
      <c r="M8" s="5"/>
      <c r="N8" s="5"/>
      <c r="O8" s="5"/>
      <c r="P8" s="5"/>
      <c r="Q8" s="5"/>
      <c r="R8" s="5"/>
      <c r="S8" s="5"/>
      <c r="T8" s="5"/>
      <c r="U8" s="5"/>
      <c r="V8" s="5"/>
      <c r="W8" s="5"/>
      <c r="X8" s="5"/>
      <c r="Y8" s="5"/>
      <c r="Z8" s="5"/>
    </row>
    <row r="9">
      <c r="A9" s="32"/>
      <c r="B9" s="22"/>
      <c r="C9" s="22"/>
      <c r="D9" s="22"/>
      <c r="E9" s="22"/>
      <c r="F9" s="22"/>
      <c r="G9" s="31"/>
      <c r="H9" s="31"/>
      <c r="I9" s="22"/>
      <c r="J9" s="22"/>
      <c r="K9" s="22"/>
      <c r="L9" s="22"/>
      <c r="M9" s="22"/>
      <c r="N9" s="22"/>
      <c r="O9" s="22"/>
      <c r="P9" s="22"/>
      <c r="Q9" s="22"/>
      <c r="R9" s="22"/>
      <c r="S9" s="22"/>
      <c r="T9" s="22"/>
      <c r="U9" s="22"/>
      <c r="V9" s="22"/>
      <c r="W9" s="22"/>
      <c r="X9" s="22"/>
      <c r="Y9" s="22"/>
      <c r="Z9" s="22"/>
    </row>
    <row r="10">
      <c r="A10" s="32"/>
      <c r="B10" s="33" t="s">
        <v>420</v>
      </c>
      <c r="C10" s="33" t="s">
        <v>421</v>
      </c>
      <c r="D10" s="22"/>
      <c r="E10" s="22"/>
      <c r="F10" s="22"/>
      <c r="G10" s="31"/>
      <c r="H10" s="31"/>
      <c r="I10" s="22"/>
      <c r="J10" s="22"/>
      <c r="K10" s="22"/>
      <c r="L10" s="22"/>
      <c r="M10" s="22"/>
      <c r="N10" s="22"/>
      <c r="O10" s="22"/>
      <c r="P10" s="22"/>
      <c r="Q10" s="22"/>
      <c r="R10" s="22"/>
      <c r="S10" s="22"/>
      <c r="T10" s="22"/>
      <c r="U10" s="22"/>
      <c r="V10" s="22"/>
      <c r="W10" s="22"/>
      <c r="X10" s="22"/>
      <c r="Y10" s="22"/>
      <c r="Z10" s="22"/>
    </row>
    <row r="11">
      <c r="A11" s="32"/>
      <c r="B11" s="31" t="s">
        <v>422</v>
      </c>
      <c r="C11" s="31" t="s">
        <v>423</v>
      </c>
      <c r="D11" s="22"/>
      <c r="E11" s="22"/>
      <c r="F11" s="22"/>
      <c r="G11" s="31"/>
      <c r="H11" s="31"/>
      <c r="I11" s="22"/>
      <c r="J11" s="22"/>
      <c r="K11" s="22"/>
      <c r="L11" s="22"/>
      <c r="M11" s="22"/>
      <c r="N11" s="22"/>
      <c r="O11" s="22"/>
      <c r="P11" s="22"/>
      <c r="Q11" s="22"/>
      <c r="R11" s="22"/>
      <c r="S11" s="22"/>
      <c r="T11" s="22"/>
      <c r="U11" s="22"/>
      <c r="V11" s="22"/>
      <c r="W11" s="22"/>
      <c r="X11" s="22"/>
      <c r="Y11" s="22"/>
      <c r="Z11" s="22"/>
    </row>
    <row r="12">
      <c r="A12" s="32"/>
      <c r="B12" s="31" t="s">
        <v>424</v>
      </c>
      <c r="C12" s="31" t="s">
        <v>425</v>
      </c>
      <c r="D12" s="22"/>
      <c r="E12" s="22"/>
      <c r="F12" s="22"/>
      <c r="G12" s="31"/>
      <c r="H12" s="31"/>
      <c r="I12" s="22"/>
      <c r="J12" s="22"/>
      <c r="K12" s="22"/>
      <c r="L12" s="22"/>
      <c r="M12" s="22"/>
      <c r="N12" s="22"/>
      <c r="O12" s="22"/>
      <c r="P12" s="22"/>
      <c r="Q12" s="22"/>
      <c r="R12" s="22"/>
      <c r="S12" s="22"/>
      <c r="T12" s="22"/>
      <c r="U12" s="22"/>
      <c r="V12" s="22"/>
      <c r="W12" s="22"/>
      <c r="X12" s="22"/>
      <c r="Y12" s="22"/>
      <c r="Z12" s="22"/>
    </row>
    <row r="13">
      <c r="A13" s="32"/>
      <c r="B13" s="31" t="s">
        <v>426</v>
      </c>
      <c r="C13" s="31" t="s">
        <v>427</v>
      </c>
      <c r="D13" s="22"/>
      <c r="E13" s="22"/>
      <c r="F13" s="22"/>
      <c r="G13" s="31"/>
      <c r="H13" s="31"/>
      <c r="I13" s="22"/>
      <c r="J13" s="22"/>
      <c r="K13" s="22"/>
      <c r="L13" s="22"/>
      <c r="M13" s="22"/>
      <c r="N13" s="22"/>
      <c r="O13" s="22"/>
      <c r="P13" s="22"/>
      <c r="Q13" s="22"/>
      <c r="R13" s="22"/>
      <c r="S13" s="22"/>
      <c r="T13" s="22"/>
      <c r="U13" s="22"/>
      <c r="V13" s="22"/>
      <c r="W13" s="22"/>
      <c r="X13" s="22"/>
      <c r="Y13" s="22"/>
      <c r="Z13" s="22"/>
    </row>
    <row r="14">
      <c r="A14" s="32"/>
      <c r="B14" s="31" t="s">
        <v>428</v>
      </c>
      <c r="C14" s="31" t="s">
        <v>429</v>
      </c>
      <c r="D14" s="22"/>
      <c r="E14" s="22"/>
      <c r="F14" s="22"/>
      <c r="G14" s="31"/>
      <c r="H14" s="31"/>
      <c r="I14" s="22"/>
      <c r="J14" s="22"/>
      <c r="K14" s="22"/>
      <c r="L14" s="22"/>
      <c r="M14" s="22"/>
      <c r="N14" s="22"/>
      <c r="O14" s="22"/>
      <c r="P14" s="22"/>
      <c r="Q14" s="22"/>
      <c r="R14" s="22"/>
      <c r="S14" s="22"/>
      <c r="T14" s="22"/>
      <c r="U14" s="22"/>
      <c r="V14" s="22"/>
      <c r="W14" s="22"/>
      <c r="X14" s="22"/>
      <c r="Y14" s="22"/>
      <c r="Z14" s="22"/>
    </row>
    <row r="15">
      <c r="A15" s="32"/>
      <c r="B15" s="31" t="s">
        <v>430</v>
      </c>
      <c r="C15" s="31" t="s">
        <v>431</v>
      </c>
      <c r="D15" s="22"/>
      <c r="E15" s="22"/>
      <c r="F15" s="22"/>
      <c r="G15" s="31"/>
      <c r="H15" s="31"/>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J16" s="22"/>
      <c r="K16" s="22"/>
      <c r="L16" s="22"/>
      <c r="M16" s="22"/>
      <c r="N16" s="22"/>
      <c r="O16" s="22"/>
      <c r="P16" s="22"/>
      <c r="Q16" s="22"/>
      <c r="R16" s="22"/>
      <c r="S16" s="22"/>
      <c r="T16" s="22"/>
      <c r="U16" s="22"/>
      <c r="V16" s="22"/>
      <c r="W16" s="22"/>
      <c r="X16" s="22"/>
      <c r="Y16" s="22"/>
      <c r="Z16" s="22"/>
    </row>
    <row r="17" ht="15.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5.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5.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5.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sheetData>
  <mergeCells count="5">
    <mergeCell ref="G2:G3"/>
    <mergeCell ref="H2:H3"/>
    <mergeCell ref="J2:J8"/>
    <mergeCell ref="A3:A4"/>
    <mergeCell ref="B3:B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3" width="30.22"/>
    <col customWidth="1" min="4" max="4" width="34.0"/>
    <col customWidth="1" min="5" max="5" width="30.22"/>
    <col customWidth="1" min="6" max="6" width="38.33"/>
    <col customWidth="1" min="7" max="7" width="45.0"/>
    <col customWidth="1" min="8" max="8" width="53.44"/>
    <col customWidth="1" min="9" max="9" width="30.22"/>
    <col customWidth="1" min="10" max="10" width="50.0"/>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587.25" customHeight="1">
      <c r="A2" s="23">
        <v>2.0</v>
      </c>
      <c r="B2" s="24" t="s">
        <v>432</v>
      </c>
      <c r="C2" s="24" t="s">
        <v>433</v>
      </c>
      <c r="D2" s="24" t="s">
        <v>434</v>
      </c>
      <c r="E2" s="24" t="s">
        <v>435</v>
      </c>
      <c r="F2" s="24" t="s">
        <v>436</v>
      </c>
      <c r="G2" s="24" t="s">
        <v>437</v>
      </c>
      <c r="H2" s="24" t="s">
        <v>438</v>
      </c>
      <c r="I2" s="27" t="s">
        <v>389</v>
      </c>
      <c r="J2" s="24" t="s">
        <v>439</v>
      </c>
      <c r="K2" s="24"/>
      <c r="L2" s="24"/>
      <c r="M2" s="24"/>
      <c r="N2" s="24"/>
      <c r="O2" s="24"/>
      <c r="P2" s="24"/>
      <c r="Q2" s="24"/>
      <c r="R2" s="24"/>
      <c r="S2" s="24"/>
      <c r="T2" s="22"/>
      <c r="U2" s="22"/>
      <c r="V2" s="22"/>
      <c r="W2" s="22"/>
      <c r="X2" s="22"/>
      <c r="Y2" s="22"/>
      <c r="Z2" s="22"/>
    </row>
    <row r="3" ht="375.0" customHeight="1">
      <c r="A3" s="19" t="s">
        <v>440</v>
      </c>
      <c r="B3" s="24" t="s">
        <v>441</v>
      </c>
      <c r="C3" s="24" t="s">
        <v>442</v>
      </c>
      <c r="D3" s="24" t="s">
        <v>443</v>
      </c>
      <c r="E3" s="24" t="s">
        <v>444</v>
      </c>
      <c r="F3" s="24" t="s">
        <v>445</v>
      </c>
      <c r="G3" s="24" t="s">
        <v>446</v>
      </c>
      <c r="H3" s="24" t="s">
        <v>447</v>
      </c>
      <c r="I3" s="27" t="s">
        <v>389</v>
      </c>
      <c r="J3" s="24" t="s">
        <v>448</v>
      </c>
      <c r="K3" s="24"/>
      <c r="L3" s="24"/>
      <c r="M3" s="24"/>
      <c r="N3" s="24"/>
      <c r="O3" s="24"/>
      <c r="P3" s="24"/>
      <c r="Q3" s="24"/>
      <c r="R3" s="24"/>
      <c r="S3" s="24"/>
      <c r="T3" s="22"/>
      <c r="U3" s="22"/>
      <c r="V3" s="22"/>
      <c r="W3" s="22"/>
      <c r="X3" s="22"/>
      <c r="Y3" s="22"/>
      <c r="Z3" s="22"/>
    </row>
    <row r="4">
      <c r="I4" s="14"/>
    </row>
    <row r="5">
      <c r="I5" s="14"/>
    </row>
    <row r="6">
      <c r="I6" s="14"/>
    </row>
    <row r="7">
      <c r="I7" s="14"/>
    </row>
    <row r="8">
      <c r="I8" s="14"/>
    </row>
    <row r="9">
      <c r="I9" s="14"/>
    </row>
    <row r="10">
      <c r="I10" s="14"/>
    </row>
    <row r="11">
      <c r="I11" s="14"/>
    </row>
    <row r="12">
      <c r="I12" s="14"/>
    </row>
    <row r="13">
      <c r="I13" s="14"/>
    </row>
    <row r="14">
      <c r="I14" s="14"/>
    </row>
    <row r="15">
      <c r="I15" s="14"/>
    </row>
    <row r="16">
      <c r="I16" s="14"/>
    </row>
    <row r="17">
      <c r="I17" s="14"/>
    </row>
    <row r="18">
      <c r="I18" s="14"/>
    </row>
    <row r="19">
      <c r="I19" s="14"/>
    </row>
    <row r="20">
      <c r="I20" s="14"/>
    </row>
    <row r="21">
      <c r="I21" s="14"/>
    </row>
    <row r="22">
      <c r="I22" s="14"/>
    </row>
    <row r="23">
      <c r="I23" s="14"/>
    </row>
    <row r="24">
      <c r="I24" s="14"/>
    </row>
    <row r="25">
      <c r="I25" s="14"/>
    </row>
    <row r="26">
      <c r="I26" s="14"/>
    </row>
    <row r="27">
      <c r="I27" s="14"/>
    </row>
    <row r="28">
      <c r="I28" s="14"/>
    </row>
    <row r="29">
      <c r="I29" s="14"/>
    </row>
    <row r="30">
      <c r="I30" s="14"/>
    </row>
    <row r="31">
      <c r="I31" s="14"/>
    </row>
    <row r="32">
      <c r="I32" s="14"/>
    </row>
    <row r="33">
      <c r="I33" s="14"/>
    </row>
    <row r="34">
      <c r="I34" s="14"/>
    </row>
    <row r="35">
      <c r="I35" s="14"/>
    </row>
    <row r="36">
      <c r="I36" s="14"/>
    </row>
    <row r="37">
      <c r="I37" s="14"/>
    </row>
    <row r="38">
      <c r="I38" s="14"/>
    </row>
    <row r="39">
      <c r="I39" s="14"/>
    </row>
    <row r="40">
      <c r="I40" s="14"/>
    </row>
    <row r="41">
      <c r="I41" s="14"/>
    </row>
    <row r="42">
      <c r="I42" s="14"/>
    </row>
    <row r="43">
      <c r="I43" s="14"/>
    </row>
    <row r="44">
      <c r="I44" s="14"/>
    </row>
    <row r="45">
      <c r="I45" s="14"/>
    </row>
    <row r="46">
      <c r="I46" s="14"/>
    </row>
    <row r="47">
      <c r="I47" s="14"/>
    </row>
    <row r="48">
      <c r="I48" s="14"/>
    </row>
    <row r="49">
      <c r="I49" s="14"/>
    </row>
    <row r="50">
      <c r="I50" s="14"/>
    </row>
    <row r="51">
      <c r="I51" s="14"/>
    </row>
    <row r="52">
      <c r="I52" s="14"/>
    </row>
    <row r="53">
      <c r="I53" s="14"/>
    </row>
    <row r="54">
      <c r="I54" s="14"/>
    </row>
    <row r="55">
      <c r="I55" s="14"/>
    </row>
    <row r="56">
      <c r="I56" s="14"/>
    </row>
    <row r="57">
      <c r="I57" s="14"/>
    </row>
    <row r="58">
      <c r="I58" s="14"/>
    </row>
    <row r="59">
      <c r="I59" s="14"/>
    </row>
    <row r="60">
      <c r="I60" s="14"/>
    </row>
    <row r="61">
      <c r="I61" s="14"/>
    </row>
    <row r="62">
      <c r="I62" s="14"/>
    </row>
    <row r="63">
      <c r="I63" s="14"/>
    </row>
    <row r="64">
      <c r="I64" s="14"/>
    </row>
    <row r="65">
      <c r="I65" s="14"/>
    </row>
    <row r="66">
      <c r="I66" s="14"/>
    </row>
    <row r="67">
      <c r="I67" s="14"/>
    </row>
    <row r="68">
      <c r="I68" s="14"/>
    </row>
    <row r="69">
      <c r="I69" s="14"/>
    </row>
    <row r="70">
      <c r="I70" s="14"/>
    </row>
    <row r="71">
      <c r="I71" s="14"/>
    </row>
    <row r="72">
      <c r="I72" s="14"/>
    </row>
    <row r="73">
      <c r="I73" s="14"/>
    </row>
    <row r="74">
      <c r="I74" s="14"/>
    </row>
    <row r="75">
      <c r="I75" s="14"/>
    </row>
    <row r="76">
      <c r="I76" s="14"/>
    </row>
    <row r="77">
      <c r="I77" s="14"/>
    </row>
    <row r="78">
      <c r="I78" s="14"/>
    </row>
    <row r="79">
      <c r="I79" s="14"/>
    </row>
    <row r="80">
      <c r="I80" s="14"/>
    </row>
    <row r="81">
      <c r="I81" s="14"/>
    </row>
    <row r="82">
      <c r="I82" s="14"/>
    </row>
    <row r="83">
      <c r="I83" s="14"/>
    </row>
    <row r="84">
      <c r="I84" s="14"/>
    </row>
    <row r="85">
      <c r="I85" s="14"/>
    </row>
    <row r="86">
      <c r="I86" s="14"/>
    </row>
    <row r="87">
      <c r="I87" s="14"/>
    </row>
    <row r="88">
      <c r="I88" s="14"/>
    </row>
    <row r="89">
      <c r="I89" s="14"/>
    </row>
    <row r="90">
      <c r="I90" s="14"/>
    </row>
    <row r="91">
      <c r="I91" s="14"/>
    </row>
    <row r="92">
      <c r="I92" s="14"/>
    </row>
    <row r="93">
      <c r="I93" s="14"/>
    </row>
    <row r="94">
      <c r="I94" s="14"/>
    </row>
    <row r="95">
      <c r="I95" s="14"/>
    </row>
    <row r="96">
      <c r="I96" s="14"/>
    </row>
    <row r="97">
      <c r="I97" s="14"/>
    </row>
    <row r="98">
      <c r="I98" s="14"/>
    </row>
    <row r="99">
      <c r="I99" s="14"/>
    </row>
    <row r="100">
      <c r="I100" s="14"/>
    </row>
    <row r="101">
      <c r="I101" s="14"/>
    </row>
    <row r="102">
      <c r="I102" s="14"/>
    </row>
    <row r="103">
      <c r="I103" s="14"/>
    </row>
    <row r="104">
      <c r="I104" s="14"/>
    </row>
    <row r="105">
      <c r="I105" s="14"/>
    </row>
    <row r="106">
      <c r="I106" s="14"/>
    </row>
    <row r="107">
      <c r="I107" s="14"/>
    </row>
    <row r="108">
      <c r="I108" s="14"/>
    </row>
    <row r="109">
      <c r="I109" s="14"/>
    </row>
    <row r="110">
      <c r="I110" s="14"/>
    </row>
    <row r="111">
      <c r="I111" s="14"/>
    </row>
    <row r="112">
      <c r="I112" s="14"/>
    </row>
    <row r="113">
      <c r="I113" s="14"/>
    </row>
    <row r="114">
      <c r="I114" s="14"/>
    </row>
    <row r="115">
      <c r="I115" s="14"/>
    </row>
    <row r="116">
      <c r="I116" s="14"/>
    </row>
    <row r="117">
      <c r="I117" s="14"/>
    </row>
    <row r="118">
      <c r="I118" s="14"/>
    </row>
    <row r="119">
      <c r="I119" s="14"/>
    </row>
    <row r="120">
      <c r="I120" s="14"/>
    </row>
    <row r="121">
      <c r="I121" s="14"/>
    </row>
    <row r="122">
      <c r="I122" s="14"/>
    </row>
    <row r="123">
      <c r="I123" s="14"/>
    </row>
    <row r="124">
      <c r="I124" s="14"/>
    </row>
    <row r="125">
      <c r="I125" s="14"/>
    </row>
    <row r="126">
      <c r="I126" s="14"/>
    </row>
    <row r="127">
      <c r="I127" s="14"/>
    </row>
    <row r="128">
      <c r="I128" s="14"/>
    </row>
    <row r="129">
      <c r="I129" s="14"/>
    </row>
    <row r="130">
      <c r="I130" s="14"/>
    </row>
    <row r="131">
      <c r="I131" s="14"/>
    </row>
    <row r="132">
      <c r="I132" s="14"/>
    </row>
    <row r="133">
      <c r="I133" s="14"/>
    </row>
    <row r="134">
      <c r="I134" s="14"/>
    </row>
    <row r="135">
      <c r="I135" s="14"/>
    </row>
    <row r="136">
      <c r="I136" s="14"/>
    </row>
    <row r="137">
      <c r="I137" s="14"/>
    </row>
    <row r="138">
      <c r="I138" s="14"/>
    </row>
    <row r="139">
      <c r="I139" s="14"/>
    </row>
    <row r="140">
      <c r="I140" s="14"/>
    </row>
    <row r="141">
      <c r="I141" s="14"/>
    </row>
    <row r="142">
      <c r="I142" s="14"/>
    </row>
    <row r="143">
      <c r="I143" s="14"/>
    </row>
    <row r="144">
      <c r="I144" s="14"/>
    </row>
    <row r="145">
      <c r="I145" s="14"/>
    </row>
    <row r="146">
      <c r="I146" s="14"/>
    </row>
    <row r="147">
      <c r="I147" s="14"/>
    </row>
    <row r="148">
      <c r="I148" s="14"/>
    </row>
    <row r="149">
      <c r="I149" s="14"/>
    </row>
    <row r="150">
      <c r="I150" s="14"/>
    </row>
    <row r="151">
      <c r="I151" s="14"/>
    </row>
    <row r="152">
      <c r="I152" s="14"/>
    </row>
    <row r="153">
      <c r="I153" s="14"/>
    </row>
    <row r="154">
      <c r="I154" s="14"/>
    </row>
    <row r="155">
      <c r="I155" s="14"/>
    </row>
    <row r="156">
      <c r="I156" s="14"/>
    </row>
    <row r="157">
      <c r="I157" s="14"/>
    </row>
    <row r="158">
      <c r="I158" s="14"/>
    </row>
    <row r="159">
      <c r="I159" s="14"/>
    </row>
    <row r="160">
      <c r="I160" s="14"/>
    </row>
    <row r="161">
      <c r="I161" s="14"/>
    </row>
    <row r="162">
      <c r="I162" s="14"/>
    </row>
    <row r="163">
      <c r="I163" s="14"/>
    </row>
    <row r="164">
      <c r="I164" s="14"/>
    </row>
    <row r="165">
      <c r="I165" s="14"/>
    </row>
    <row r="166">
      <c r="I166" s="14"/>
    </row>
    <row r="167">
      <c r="I167" s="14"/>
    </row>
    <row r="168">
      <c r="I168" s="14"/>
    </row>
    <row r="169">
      <c r="I169" s="14"/>
    </row>
    <row r="170">
      <c r="I170" s="14"/>
    </row>
    <row r="171">
      <c r="I171" s="14"/>
    </row>
    <row r="172">
      <c r="I172" s="14"/>
    </row>
    <row r="173">
      <c r="I173" s="14"/>
    </row>
    <row r="174">
      <c r="I174" s="14"/>
    </row>
    <row r="175">
      <c r="I175" s="14"/>
    </row>
    <row r="176">
      <c r="I176" s="14"/>
    </row>
    <row r="177">
      <c r="I177" s="14"/>
    </row>
    <row r="178">
      <c r="I178" s="14"/>
    </row>
    <row r="179">
      <c r="I179" s="14"/>
    </row>
    <row r="180">
      <c r="I180" s="14"/>
    </row>
    <row r="181">
      <c r="I181" s="14"/>
    </row>
    <row r="182">
      <c r="I182" s="14"/>
    </row>
    <row r="183">
      <c r="I183" s="14"/>
    </row>
    <row r="184">
      <c r="I184" s="14"/>
    </row>
    <row r="185">
      <c r="I185" s="14"/>
    </row>
    <row r="186">
      <c r="I186" s="14"/>
    </row>
    <row r="187">
      <c r="I187" s="14"/>
    </row>
    <row r="188">
      <c r="I188" s="14"/>
    </row>
    <row r="189">
      <c r="I189" s="14"/>
    </row>
    <row r="190">
      <c r="I190" s="14"/>
    </row>
    <row r="191">
      <c r="I191" s="14"/>
    </row>
    <row r="192">
      <c r="I192" s="14"/>
    </row>
    <row r="193">
      <c r="I193" s="14"/>
    </row>
    <row r="194">
      <c r="I194" s="14"/>
    </row>
    <row r="195">
      <c r="I195" s="14"/>
    </row>
    <row r="196">
      <c r="I196" s="14"/>
    </row>
    <row r="197">
      <c r="I197" s="14"/>
    </row>
    <row r="198">
      <c r="I198" s="14"/>
    </row>
    <row r="199">
      <c r="I199" s="14"/>
    </row>
    <row r="200">
      <c r="I200" s="14"/>
    </row>
    <row r="201">
      <c r="I201" s="14"/>
    </row>
    <row r="202">
      <c r="I202" s="14"/>
    </row>
    <row r="203">
      <c r="I203" s="14"/>
    </row>
    <row r="204">
      <c r="I204" s="14"/>
    </row>
    <row r="205">
      <c r="I205" s="14"/>
    </row>
    <row r="206">
      <c r="I206" s="14"/>
    </row>
    <row r="207">
      <c r="I207" s="14"/>
    </row>
    <row r="208">
      <c r="I208" s="14"/>
    </row>
    <row r="209">
      <c r="I209" s="14"/>
    </row>
    <row r="210">
      <c r="I210" s="14"/>
    </row>
    <row r="211">
      <c r="I211" s="14"/>
    </row>
    <row r="212">
      <c r="I212" s="14"/>
    </row>
    <row r="213">
      <c r="I213" s="14"/>
    </row>
    <row r="214">
      <c r="I214" s="14"/>
    </row>
    <row r="215">
      <c r="I215" s="14"/>
    </row>
    <row r="216">
      <c r="I216" s="14"/>
    </row>
    <row r="217">
      <c r="I217" s="14"/>
    </row>
    <row r="218">
      <c r="I218" s="14"/>
    </row>
    <row r="219">
      <c r="I219" s="14"/>
    </row>
    <row r="220">
      <c r="I220" s="14"/>
    </row>
    <row r="221">
      <c r="I221" s="14"/>
    </row>
    <row r="222">
      <c r="I222" s="14"/>
    </row>
    <row r="223">
      <c r="I223" s="14"/>
    </row>
    <row r="224">
      <c r="I224" s="14"/>
    </row>
    <row r="225">
      <c r="I225" s="14"/>
    </row>
    <row r="226">
      <c r="I226" s="14"/>
    </row>
    <row r="227">
      <c r="I227" s="14"/>
    </row>
    <row r="228">
      <c r="I228" s="14"/>
    </row>
    <row r="229">
      <c r="I229" s="14"/>
    </row>
    <row r="230">
      <c r="I230" s="14"/>
    </row>
    <row r="231">
      <c r="I231" s="14"/>
    </row>
    <row r="232">
      <c r="I232" s="14"/>
    </row>
    <row r="233">
      <c r="I233" s="14"/>
    </row>
    <row r="234">
      <c r="I234" s="14"/>
    </row>
    <row r="235">
      <c r="I235" s="14"/>
    </row>
    <row r="236">
      <c r="I236" s="14"/>
    </row>
    <row r="237">
      <c r="I237" s="14"/>
    </row>
    <row r="238">
      <c r="I238" s="14"/>
    </row>
    <row r="239">
      <c r="I239" s="14"/>
    </row>
    <row r="240">
      <c r="I240" s="14"/>
    </row>
    <row r="241">
      <c r="I241" s="14"/>
    </row>
    <row r="242">
      <c r="I242" s="14"/>
    </row>
    <row r="243">
      <c r="I243" s="14"/>
    </row>
    <row r="244">
      <c r="I244" s="14"/>
    </row>
    <row r="245">
      <c r="I245" s="14"/>
    </row>
    <row r="246">
      <c r="I246" s="14"/>
    </row>
    <row r="247">
      <c r="I247" s="14"/>
    </row>
    <row r="248">
      <c r="I248" s="14"/>
    </row>
    <row r="249">
      <c r="I249" s="14"/>
    </row>
    <row r="250">
      <c r="I250" s="14"/>
    </row>
    <row r="251">
      <c r="I251" s="14"/>
    </row>
    <row r="252">
      <c r="I252" s="14"/>
    </row>
    <row r="253">
      <c r="I253" s="14"/>
    </row>
    <row r="254">
      <c r="I254" s="14"/>
    </row>
    <row r="255">
      <c r="I255" s="14"/>
    </row>
    <row r="256">
      <c r="I256" s="14"/>
    </row>
    <row r="257">
      <c r="I257" s="14"/>
    </row>
    <row r="258">
      <c r="I258" s="14"/>
    </row>
    <row r="259">
      <c r="I259" s="14"/>
    </row>
    <row r="260">
      <c r="I260" s="14"/>
    </row>
    <row r="261">
      <c r="I261" s="14"/>
    </row>
    <row r="262">
      <c r="I262" s="14"/>
    </row>
    <row r="263">
      <c r="I263" s="14"/>
    </row>
    <row r="264">
      <c r="I264" s="14"/>
    </row>
    <row r="265">
      <c r="I265" s="14"/>
    </row>
    <row r="266">
      <c r="I266" s="14"/>
    </row>
    <row r="267">
      <c r="I267" s="14"/>
    </row>
    <row r="268">
      <c r="I268" s="14"/>
    </row>
    <row r="269">
      <c r="I269" s="14"/>
    </row>
    <row r="270">
      <c r="I270" s="14"/>
    </row>
    <row r="271">
      <c r="I271" s="14"/>
    </row>
    <row r="272">
      <c r="I272" s="14"/>
    </row>
    <row r="273">
      <c r="I273" s="14"/>
    </row>
    <row r="274">
      <c r="I274" s="14"/>
    </row>
    <row r="275">
      <c r="I275" s="14"/>
    </row>
    <row r="276">
      <c r="I276" s="14"/>
    </row>
    <row r="277">
      <c r="I277" s="14"/>
    </row>
    <row r="278">
      <c r="I278" s="14"/>
    </row>
    <row r="279">
      <c r="I279" s="14"/>
    </row>
    <row r="280">
      <c r="I280" s="14"/>
    </row>
    <row r="281">
      <c r="I281" s="14"/>
    </row>
    <row r="282">
      <c r="I282" s="14"/>
    </row>
    <row r="283">
      <c r="I283" s="14"/>
    </row>
    <row r="284">
      <c r="I284" s="14"/>
    </row>
    <row r="285">
      <c r="I285" s="14"/>
    </row>
    <row r="286">
      <c r="I286" s="14"/>
    </row>
    <row r="287">
      <c r="I287" s="14"/>
    </row>
    <row r="288">
      <c r="I288" s="14"/>
    </row>
    <row r="289">
      <c r="I289" s="14"/>
    </row>
    <row r="290">
      <c r="I290" s="14"/>
    </row>
    <row r="291">
      <c r="I291" s="14"/>
    </row>
    <row r="292">
      <c r="I292" s="14"/>
    </row>
    <row r="293">
      <c r="I293" s="14"/>
    </row>
    <row r="294">
      <c r="I294" s="14"/>
    </row>
    <row r="295">
      <c r="I295" s="14"/>
    </row>
    <row r="296">
      <c r="I296" s="14"/>
    </row>
    <row r="297">
      <c r="I297" s="14"/>
    </row>
    <row r="298">
      <c r="I298" s="14"/>
    </row>
    <row r="299">
      <c r="I299" s="14"/>
    </row>
    <row r="300">
      <c r="I300" s="14"/>
    </row>
    <row r="301">
      <c r="I301" s="14"/>
    </row>
    <row r="302">
      <c r="I302" s="14"/>
    </row>
    <row r="303">
      <c r="I303" s="14"/>
    </row>
    <row r="304">
      <c r="I304" s="14"/>
    </row>
    <row r="305">
      <c r="I305" s="14"/>
    </row>
    <row r="306">
      <c r="I306" s="14"/>
    </row>
    <row r="307">
      <c r="I307" s="14"/>
    </row>
    <row r="308">
      <c r="I308" s="14"/>
    </row>
    <row r="309">
      <c r="I309" s="14"/>
    </row>
    <row r="310">
      <c r="I310" s="14"/>
    </row>
    <row r="311">
      <c r="I311" s="14"/>
    </row>
    <row r="312">
      <c r="I312" s="14"/>
    </row>
    <row r="313">
      <c r="I313" s="14"/>
    </row>
    <row r="314">
      <c r="I314" s="14"/>
    </row>
    <row r="315">
      <c r="I315" s="14"/>
    </row>
    <row r="316">
      <c r="I316" s="14"/>
    </row>
    <row r="317">
      <c r="I317" s="14"/>
    </row>
    <row r="318">
      <c r="I318" s="14"/>
    </row>
    <row r="319">
      <c r="I319" s="14"/>
    </row>
    <row r="320">
      <c r="I320" s="14"/>
    </row>
    <row r="321">
      <c r="I321" s="14"/>
    </row>
    <row r="322">
      <c r="I322" s="14"/>
    </row>
    <row r="323">
      <c r="I323" s="14"/>
    </row>
    <row r="324">
      <c r="I324" s="14"/>
    </row>
    <row r="325">
      <c r="I325" s="14"/>
    </row>
    <row r="326">
      <c r="I326" s="14"/>
    </row>
    <row r="327">
      <c r="I327" s="14"/>
    </row>
    <row r="328">
      <c r="I328" s="14"/>
    </row>
    <row r="329">
      <c r="I329" s="14"/>
    </row>
    <row r="330">
      <c r="I330" s="14"/>
    </row>
    <row r="331">
      <c r="I331" s="14"/>
    </row>
    <row r="332">
      <c r="I332" s="14"/>
    </row>
    <row r="333">
      <c r="I333" s="14"/>
    </row>
    <row r="334">
      <c r="I334" s="14"/>
    </row>
    <row r="335">
      <c r="I335" s="14"/>
    </row>
    <row r="336">
      <c r="I336" s="14"/>
    </row>
    <row r="337">
      <c r="I337" s="14"/>
    </row>
    <row r="338">
      <c r="I338" s="14"/>
    </row>
    <row r="339">
      <c r="I339" s="14"/>
    </row>
    <row r="340">
      <c r="I340" s="14"/>
    </row>
    <row r="341">
      <c r="I341" s="14"/>
    </row>
    <row r="342">
      <c r="I342" s="14"/>
    </row>
    <row r="343">
      <c r="I343" s="14"/>
    </row>
    <row r="344">
      <c r="I344" s="14"/>
    </row>
    <row r="345">
      <c r="I345" s="14"/>
    </row>
    <row r="346">
      <c r="I346" s="14"/>
    </row>
    <row r="347">
      <c r="I347" s="14"/>
    </row>
    <row r="348">
      <c r="I348" s="14"/>
    </row>
    <row r="349">
      <c r="I349" s="14"/>
    </row>
    <row r="350">
      <c r="I350" s="14"/>
    </row>
    <row r="351">
      <c r="I351" s="14"/>
    </row>
    <row r="352">
      <c r="I352" s="14"/>
    </row>
    <row r="353">
      <c r="I353" s="14"/>
    </row>
    <row r="354">
      <c r="I354" s="14"/>
    </row>
    <row r="355">
      <c r="I355" s="14"/>
    </row>
    <row r="356">
      <c r="I356" s="14"/>
    </row>
    <row r="357">
      <c r="I357" s="14"/>
    </row>
    <row r="358">
      <c r="I358" s="14"/>
    </row>
    <row r="359">
      <c r="I359" s="14"/>
    </row>
    <row r="360">
      <c r="I360" s="14"/>
    </row>
    <row r="361">
      <c r="I361" s="14"/>
    </row>
    <row r="362">
      <c r="I362" s="14"/>
    </row>
    <row r="363">
      <c r="I363" s="14"/>
    </row>
    <row r="364">
      <c r="I364" s="14"/>
    </row>
    <row r="365">
      <c r="I365" s="14"/>
    </row>
    <row r="366">
      <c r="I366" s="14"/>
    </row>
    <row r="367">
      <c r="I367" s="14"/>
    </row>
    <row r="368">
      <c r="I368" s="14"/>
    </row>
    <row r="369">
      <c r="I369" s="14"/>
    </row>
    <row r="370">
      <c r="I370" s="14"/>
    </row>
    <row r="371">
      <c r="I371" s="14"/>
    </row>
    <row r="372">
      <c r="I372" s="14"/>
    </row>
    <row r="373">
      <c r="I373" s="14"/>
    </row>
    <row r="374">
      <c r="I374" s="14"/>
    </row>
    <row r="375">
      <c r="I375" s="14"/>
    </row>
    <row r="376">
      <c r="I376" s="14"/>
    </row>
    <row r="377">
      <c r="I377" s="14"/>
    </row>
    <row r="378">
      <c r="I378" s="14"/>
    </row>
    <row r="379">
      <c r="I379" s="14"/>
    </row>
    <row r="380">
      <c r="I380" s="14"/>
    </row>
    <row r="381">
      <c r="I381" s="14"/>
    </row>
    <row r="382">
      <c r="I382" s="14"/>
    </row>
    <row r="383">
      <c r="I383" s="14"/>
    </row>
    <row r="384">
      <c r="I384" s="14"/>
    </row>
    <row r="385">
      <c r="I385" s="14"/>
    </row>
    <row r="386">
      <c r="I386" s="14"/>
    </row>
    <row r="387">
      <c r="I387" s="14"/>
    </row>
    <row r="388">
      <c r="I388" s="14"/>
    </row>
    <row r="389">
      <c r="I389" s="14"/>
    </row>
    <row r="390">
      <c r="I390" s="14"/>
    </row>
    <row r="391">
      <c r="I391" s="14"/>
    </row>
    <row r="392">
      <c r="I392" s="14"/>
    </row>
    <row r="393">
      <c r="I393" s="14"/>
    </row>
    <row r="394">
      <c r="I394" s="14"/>
    </row>
    <row r="395">
      <c r="I395" s="14"/>
    </row>
    <row r="396">
      <c r="I396" s="14"/>
    </row>
    <row r="397">
      <c r="I397" s="14"/>
    </row>
    <row r="398">
      <c r="I398" s="14"/>
    </row>
    <row r="399">
      <c r="I399" s="14"/>
    </row>
    <row r="400">
      <c r="I400" s="14"/>
    </row>
    <row r="401">
      <c r="I401" s="14"/>
    </row>
    <row r="402">
      <c r="I402" s="14"/>
    </row>
    <row r="403">
      <c r="I403" s="14"/>
    </row>
    <row r="404">
      <c r="I404" s="14"/>
    </row>
    <row r="405">
      <c r="I405" s="14"/>
    </row>
    <row r="406">
      <c r="I406" s="14"/>
    </row>
    <row r="407">
      <c r="I407" s="14"/>
    </row>
    <row r="408">
      <c r="I408" s="14"/>
    </row>
    <row r="409">
      <c r="I409" s="14"/>
    </row>
    <row r="410">
      <c r="I410" s="14"/>
    </row>
    <row r="411">
      <c r="I411" s="14"/>
    </row>
    <row r="412">
      <c r="I412" s="14"/>
    </row>
    <row r="413">
      <c r="I413" s="14"/>
    </row>
    <row r="414">
      <c r="I414" s="14"/>
    </row>
    <row r="415">
      <c r="I415" s="14"/>
    </row>
    <row r="416">
      <c r="I416" s="14"/>
    </row>
    <row r="417">
      <c r="I417" s="14"/>
    </row>
    <row r="418">
      <c r="I418" s="14"/>
    </row>
    <row r="419">
      <c r="I419" s="14"/>
    </row>
    <row r="420">
      <c r="I420" s="14"/>
    </row>
    <row r="421">
      <c r="I421" s="14"/>
    </row>
    <row r="422">
      <c r="I422" s="14"/>
    </row>
    <row r="423">
      <c r="I423" s="14"/>
    </row>
    <row r="424">
      <c r="I424" s="14"/>
    </row>
    <row r="425">
      <c r="I425" s="14"/>
    </row>
    <row r="426">
      <c r="I426" s="14"/>
    </row>
    <row r="427">
      <c r="I427" s="14"/>
    </row>
    <row r="428">
      <c r="I428" s="14"/>
    </row>
    <row r="429">
      <c r="I429" s="14"/>
    </row>
    <row r="430">
      <c r="I430" s="14"/>
    </row>
    <row r="431">
      <c r="I431" s="14"/>
    </row>
    <row r="432">
      <c r="I432" s="14"/>
    </row>
    <row r="433">
      <c r="I433" s="14"/>
    </row>
    <row r="434">
      <c r="I434" s="14"/>
    </row>
    <row r="435">
      <c r="I435" s="14"/>
    </row>
    <row r="436">
      <c r="I436" s="14"/>
    </row>
    <row r="437">
      <c r="I437" s="14"/>
    </row>
    <row r="438">
      <c r="I438" s="14"/>
    </row>
    <row r="439">
      <c r="I439" s="14"/>
    </row>
    <row r="440">
      <c r="I440" s="14"/>
    </row>
    <row r="441">
      <c r="I441" s="14"/>
    </row>
    <row r="442">
      <c r="I442" s="14"/>
    </row>
    <row r="443">
      <c r="I443" s="14"/>
    </row>
    <row r="444">
      <c r="I444" s="14"/>
    </row>
    <row r="445">
      <c r="I445" s="14"/>
    </row>
    <row r="446">
      <c r="I446" s="14"/>
    </row>
    <row r="447">
      <c r="I447" s="14"/>
    </row>
    <row r="448">
      <c r="I448" s="14"/>
    </row>
    <row r="449">
      <c r="I449" s="14"/>
    </row>
    <row r="450">
      <c r="I450" s="14"/>
    </row>
    <row r="451">
      <c r="I451" s="14"/>
    </row>
    <row r="452">
      <c r="I452" s="14"/>
    </row>
    <row r="453">
      <c r="I453" s="14"/>
    </row>
    <row r="454">
      <c r="I454" s="14"/>
    </row>
    <row r="455">
      <c r="I455" s="14"/>
    </row>
    <row r="456">
      <c r="I456" s="14"/>
    </row>
    <row r="457">
      <c r="I457" s="14"/>
    </row>
    <row r="458">
      <c r="I458" s="14"/>
    </row>
    <row r="459">
      <c r="I459" s="14"/>
    </row>
    <row r="460">
      <c r="I460" s="14"/>
    </row>
    <row r="461">
      <c r="I461" s="14"/>
    </row>
    <row r="462">
      <c r="I462" s="14"/>
    </row>
    <row r="463">
      <c r="I463" s="14"/>
    </row>
    <row r="464">
      <c r="I464" s="14"/>
    </row>
    <row r="465">
      <c r="I465" s="14"/>
    </row>
    <row r="466">
      <c r="I466" s="14"/>
    </row>
    <row r="467">
      <c r="I467" s="14"/>
    </row>
    <row r="468">
      <c r="I468" s="14"/>
    </row>
    <row r="469">
      <c r="I469" s="14"/>
    </row>
    <row r="470">
      <c r="I470" s="14"/>
    </row>
    <row r="471">
      <c r="I471" s="14"/>
    </row>
    <row r="472">
      <c r="I472" s="14"/>
    </row>
    <row r="473">
      <c r="I473" s="14"/>
    </row>
    <row r="474">
      <c r="I474" s="14"/>
    </row>
    <row r="475">
      <c r="I475" s="14"/>
    </row>
    <row r="476">
      <c r="I476" s="14"/>
    </row>
    <row r="477">
      <c r="I477" s="14"/>
    </row>
    <row r="478">
      <c r="I478" s="14"/>
    </row>
    <row r="479">
      <c r="I479" s="14"/>
    </row>
    <row r="480">
      <c r="I480" s="14"/>
    </row>
    <row r="481">
      <c r="I481" s="14"/>
    </row>
    <row r="482">
      <c r="I482" s="14"/>
    </row>
    <row r="483">
      <c r="I483" s="14"/>
    </row>
    <row r="484">
      <c r="I484" s="14"/>
    </row>
    <row r="485">
      <c r="I485" s="14"/>
    </row>
    <row r="486">
      <c r="I486" s="14"/>
    </row>
    <row r="487">
      <c r="I487" s="14"/>
    </row>
    <row r="488">
      <c r="I488" s="14"/>
    </row>
    <row r="489">
      <c r="I489" s="14"/>
    </row>
    <row r="490">
      <c r="I490" s="14"/>
    </row>
    <row r="491">
      <c r="I491" s="14"/>
    </row>
    <row r="492">
      <c r="I492" s="14"/>
    </row>
    <row r="493">
      <c r="I493" s="14"/>
    </row>
    <row r="494">
      <c r="I494" s="14"/>
    </row>
    <row r="495">
      <c r="I495" s="14"/>
    </row>
    <row r="496">
      <c r="I496" s="14"/>
    </row>
    <row r="497">
      <c r="I497" s="14"/>
    </row>
    <row r="498">
      <c r="I498" s="14"/>
    </row>
    <row r="499">
      <c r="I499" s="14"/>
    </row>
    <row r="500">
      <c r="I500" s="14"/>
    </row>
    <row r="501">
      <c r="I501" s="14"/>
    </row>
    <row r="502">
      <c r="I502" s="14"/>
    </row>
    <row r="503">
      <c r="I503" s="14"/>
    </row>
    <row r="504">
      <c r="I504" s="14"/>
    </row>
    <row r="505">
      <c r="I505" s="14"/>
    </row>
    <row r="506">
      <c r="I506" s="14"/>
    </row>
    <row r="507">
      <c r="I507" s="14"/>
    </row>
    <row r="508">
      <c r="I508" s="14"/>
    </row>
    <row r="509">
      <c r="I509" s="14"/>
    </row>
    <row r="510">
      <c r="I510" s="14"/>
    </row>
    <row r="511">
      <c r="I511" s="14"/>
    </row>
    <row r="512">
      <c r="I512" s="14"/>
    </row>
    <row r="513">
      <c r="I513" s="14"/>
    </row>
    <row r="514">
      <c r="I514" s="14"/>
    </row>
    <row r="515">
      <c r="I515" s="14"/>
    </row>
    <row r="516">
      <c r="I516" s="14"/>
    </row>
    <row r="517">
      <c r="I517" s="14"/>
    </row>
    <row r="518">
      <c r="I518" s="14"/>
    </row>
    <row r="519">
      <c r="I519" s="14"/>
    </row>
    <row r="520">
      <c r="I520" s="14"/>
    </row>
    <row r="521">
      <c r="I521" s="14"/>
    </row>
    <row r="522">
      <c r="I522" s="14"/>
    </row>
    <row r="523">
      <c r="I523" s="14"/>
    </row>
    <row r="524">
      <c r="I524" s="14"/>
    </row>
    <row r="525">
      <c r="I525" s="14"/>
    </row>
    <row r="526">
      <c r="I526" s="14"/>
    </row>
    <row r="527">
      <c r="I527" s="14"/>
    </row>
    <row r="528">
      <c r="I528" s="14"/>
    </row>
    <row r="529">
      <c r="I529" s="14"/>
    </row>
    <row r="530">
      <c r="I530" s="14"/>
    </row>
    <row r="531">
      <c r="I531" s="14"/>
    </row>
    <row r="532">
      <c r="I532" s="14"/>
    </row>
    <row r="533">
      <c r="I533" s="14"/>
    </row>
    <row r="534">
      <c r="I534" s="14"/>
    </row>
    <row r="535">
      <c r="I535" s="14"/>
    </row>
    <row r="536">
      <c r="I536" s="14"/>
    </row>
    <row r="537">
      <c r="I537" s="14"/>
    </row>
    <row r="538">
      <c r="I538" s="14"/>
    </row>
    <row r="539">
      <c r="I539" s="14"/>
    </row>
    <row r="540">
      <c r="I540" s="14"/>
    </row>
    <row r="541">
      <c r="I541" s="14"/>
    </row>
    <row r="542">
      <c r="I542" s="14"/>
    </row>
    <row r="543">
      <c r="I543" s="14"/>
    </row>
    <row r="544">
      <c r="I544" s="14"/>
    </row>
    <row r="545">
      <c r="I545" s="14"/>
    </row>
    <row r="546">
      <c r="I546" s="14"/>
    </row>
    <row r="547">
      <c r="I547" s="14"/>
    </row>
    <row r="548">
      <c r="I548" s="14"/>
    </row>
    <row r="549">
      <c r="I549" s="14"/>
    </row>
    <row r="550">
      <c r="I550" s="14"/>
    </row>
    <row r="551">
      <c r="I551" s="14"/>
    </row>
    <row r="552">
      <c r="I552" s="14"/>
    </row>
    <row r="553">
      <c r="I553" s="14"/>
    </row>
    <row r="554">
      <c r="I554" s="14"/>
    </row>
    <row r="555">
      <c r="I555" s="14"/>
    </row>
    <row r="556">
      <c r="I556" s="14"/>
    </row>
    <row r="557">
      <c r="I557" s="14"/>
    </row>
    <row r="558">
      <c r="I558" s="14"/>
    </row>
    <row r="559">
      <c r="I559" s="14"/>
    </row>
    <row r="560">
      <c r="I560" s="14"/>
    </row>
    <row r="561">
      <c r="I561" s="14"/>
    </row>
    <row r="562">
      <c r="I562" s="14"/>
    </row>
    <row r="563">
      <c r="I563" s="14"/>
    </row>
    <row r="564">
      <c r="I564" s="14"/>
    </row>
    <row r="565">
      <c r="I565" s="14"/>
    </row>
    <row r="566">
      <c r="I566" s="14"/>
    </row>
    <row r="567">
      <c r="I567" s="14"/>
    </row>
    <row r="568">
      <c r="I568" s="14"/>
    </row>
    <row r="569">
      <c r="I569" s="14"/>
    </row>
    <row r="570">
      <c r="I570" s="14"/>
    </row>
    <row r="571">
      <c r="I571" s="14"/>
    </row>
    <row r="572">
      <c r="I572" s="14"/>
    </row>
    <row r="573">
      <c r="I573" s="14"/>
    </row>
    <row r="574">
      <c r="I574" s="14"/>
    </row>
    <row r="575">
      <c r="I575" s="14"/>
    </row>
    <row r="576">
      <c r="I576" s="14"/>
    </row>
    <row r="577">
      <c r="I577" s="14"/>
    </row>
    <row r="578">
      <c r="I578" s="14"/>
    </row>
    <row r="579">
      <c r="I579" s="14"/>
    </row>
    <row r="580">
      <c r="I580" s="14"/>
    </row>
    <row r="581">
      <c r="I581" s="14"/>
    </row>
    <row r="582">
      <c r="I582" s="14"/>
    </row>
    <row r="583">
      <c r="I583" s="14"/>
    </row>
    <row r="584">
      <c r="I584" s="14"/>
    </row>
    <row r="585">
      <c r="I585" s="14"/>
    </row>
    <row r="586">
      <c r="I586" s="14"/>
    </row>
    <row r="587">
      <c r="I587" s="14"/>
    </row>
    <row r="588">
      <c r="I588" s="14"/>
    </row>
    <row r="589">
      <c r="I589" s="14"/>
    </row>
    <row r="590">
      <c r="I590" s="14"/>
    </row>
    <row r="591">
      <c r="I591" s="14"/>
    </row>
    <row r="592">
      <c r="I592" s="14"/>
    </row>
    <row r="593">
      <c r="I593" s="14"/>
    </row>
    <row r="594">
      <c r="I594" s="14"/>
    </row>
    <row r="595">
      <c r="I595" s="14"/>
    </row>
    <row r="596">
      <c r="I596" s="14"/>
    </row>
    <row r="597">
      <c r="I597" s="14"/>
    </row>
    <row r="598">
      <c r="I598" s="14"/>
    </row>
    <row r="599">
      <c r="I599" s="14"/>
    </row>
    <row r="600">
      <c r="I600" s="14"/>
    </row>
    <row r="601">
      <c r="I601" s="14"/>
    </row>
    <row r="602">
      <c r="I602" s="14"/>
    </row>
    <row r="603">
      <c r="I603" s="14"/>
    </row>
    <row r="604">
      <c r="I604" s="14"/>
    </row>
    <row r="605">
      <c r="I605" s="14"/>
    </row>
    <row r="606">
      <c r="I606" s="14"/>
    </row>
    <row r="607">
      <c r="I607" s="14"/>
    </row>
    <row r="608">
      <c r="I608" s="14"/>
    </row>
    <row r="609">
      <c r="I609" s="14"/>
    </row>
    <row r="610">
      <c r="I610" s="14"/>
    </row>
    <row r="611">
      <c r="I611" s="14"/>
    </row>
    <row r="612">
      <c r="I612" s="14"/>
    </row>
    <row r="613">
      <c r="I613" s="14"/>
    </row>
    <row r="614">
      <c r="I614" s="14"/>
    </row>
    <row r="615">
      <c r="I615" s="14"/>
    </row>
    <row r="616">
      <c r="I616" s="14"/>
    </row>
    <row r="617">
      <c r="I617" s="14"/>
    </row>
    <row r="618">
      <c r="I618" s="14"/>
    </row>
    <row r="619">
      <c r="I619" s="14"/>
    </row>
    <row r="620">
      <c r="I620" s="14"/>
    </row>
    <row r="621">
      <c r="I621" s="14"/>
    </row>
    <row r="622">
      <c r="I622" s="14"/>
    </row>
    <row r="623">
      <c r="I623" s="14"/>
    </row>
    <row r="624">
      <c r="I624" s="14"/>
    </row>
    <row r="625">
      <c r="I625" s="14"/>
    </row>
    <row r="626">
      <c r="I626" s="14"/>
    </row>
    <row r="627">
      <c r="I627" s="14"/>
    </row>
    <row r="628">
      <c r="I628" s="14"/>
    </row>
    <row r="629">
      <c r="I629" s="14"/>
    </row>
    <row r="630">
      <c r="I630" s="14"/>
    </row>
    <row r="631">
      <c r="I631" s="14"/>
    </row>
    <row r="632">
      <c r="I632" s="14"/>
    </row>
    <row r="633">
      <c r="I633" s="14"/>
    </row>
    <row r="634">
      <c r="I634" s="14"/>
    </row>
    <row r="635">
      <c r="I635" s="14"/>
    </row>
    <row r="636">
      <c r="I636" s="14"/>
    </row>
    <row r="637">
      <c r="I637" s="14"/>
    </row>
    <row r="638">
      <c r="I638" s="14"/>
    </row>
    <row r="639">
      <c r="I639" s="14"/>
    </row>
    <row r="640">
      <c r="I640" s="14"/>
    </row>
    <row r="641">
      <c r="I641" s="14"/>
    </row>
    <row r="642">
      <c r="I642" s="14"/>
    </row>
    <row r="643">
      <c r="I643" s="14"/>
    </row>
    <row r="644">
      <c r="I644" s="14"/>
    </row>
    <row r="645">
      <c r="I645" s="14"/>
    </row>
    <row r="646">
      <c r="I646" s="14"/>
    </row>
    <row r="647">
      <c r="I647" s="14"/>
    </row>
    <row r="648">
      <c r="I648" s="14"/>
    </row>
    <row r="649">
      <c r="I649" s="14"/>
    </row>
    <row r="650">
      <c r="I650" s="14"/>
    </row>
    <row r="651">
      <c r="I651" s="14"/>
    </row>
    <row r="652">
      <c r="I652" s="14"/>
    </row>
    <row r="653">
      <c r="I653" s="14"/>
    </row>
    <row r="654">
      <c r="I654" s="14"/>
    </row>
    <row r="655">
      <c r="I655" s="14"/>
    </row>
    <row r="656">
      <c r="I656" s="14"/>
    </row>
    <row r="657">
      <c r="I657" s="14"/>
    </row>
    <row r="658">
      <c r="I658" s="14"/>
    </row>
    <row r="659">
      <c r="I659" s="14"/>
    </row>
    <row r="660">
      <c r="I660" s="14"/>
    </row>
    <row r="661">
      <c r="I661" s="14"/>
    </row>
    <row r="662">
      <c r="I662" s="14"/>
    </row>
    <row r="663">
      <c r="I663" s="14"/>
    </row>
    <row r="664">
      <c r="I664" s="14"/>
    </row>
    <row r="665">
      <c r="I665" s="14"/>
    </row>
    <row r="666">
      <c r="I666" s="14"/>
    </row>
    <row r="667">
      <c r="I667" s="14"/>
    </row>
    <row r="668">
      <c r="I668" s="14"/>
    </row>
    <row r="669">
      <c r="I669" s="14"/>
    </row>
    <row r="670">
      <c r="I670" s="14"/>
    </row>
    <row r="671">
      <c r="I671" s="14"/>
    </row>
    <row r="672">
      <c r="I672" s="14"/>
    </row>
    <row r="673">
      <c r="I673" s="14"/>
    </row>
    <row r="674">
      <c r="I674" s="14"/>
    </row>
    <row r="675">
      <c r="I675" s="14"/>
    </row>
    <row r="676">
      <c r="I676" s="14"/>
    </row>
    <row r="677">
      <c r="I677" s="14"/>
    </row>
    <row r="678">
      <c r="I678" s="14"/>
    </row>
    <row r="679">
      <c r="I679" s="14"/>
    </row>
    <row r="680">
      <c r="I680" s="14"/>
    </row>
    <row r="681">
      <c r="I681" s="14"/>
    </row>
    <row r="682">
      <c r="I682" s="14"/>
    </row>
    <row r="683">
      <c r="I683" s="14"/>
    </row>
    <row r="684">
      <c r="I684" s="14"/>
    </row>
    <row r="685">
      <c r="I685" s="14"/>
    </row>
    <row r="686">
      <c r="I686" s="14"/>
    </row>
    <row r="687">
      <c r="I687" s="14"/>
    </row>
    <row r="688">
      <c r="I688" s="14"/>
    </row>
    <row r="689">
      <c r="I689" s="14"/>
    </row>
    <row r="690">
      <c r="I690" s="14"/>
    </row>
    <row r="691">
      <c r="I691" s="14"/>
    </row>
    <row r="692">
      <c r="I692" s="14"/>
    </row>
    <row r="693">
      <c r="I693" s="14"/>
    </row>
    <row r="694">
      <c r="I694" s="14"/>
    </row>
    <row r="695">
      <c r="I695" s="14"/>
    </row>
    <row r="696">
      <c r="I696" s="14"/>
    </row>
    <row r="697">
      <c r="I697" s="14"/>
    </row>
    <row r="698">
      <c r="I698" s="14"/>
    </row>
    <row r="699">
      <c r="I699" s="14"/>
    </row>
    <row r="700">
      <c r="I700" s="14"/>
    </row>
    <row r="701">
      <c r="I701" s="14"/>
    </row>
    <row r="702">
      <c r="I702" s="14"/>
    </row>
    <row r="703">
      <c r="I703" s="14"/>
    </row>
    <row r="704">
      <c r="I704" s="14"/>
    </row>
    <row r="705">
      <c r="I705" s="14"/>
    </row>
    <row r="706">
      <c r="I706" s="14"/>
    </row>
    <row r="707">
      <c r="I707" s="14"/>
    </row>
    <row r="708">
      <c r="I708" s="14"/>
    </row>
    <row r="709">
      <c r="I709" s="14"/>
    </row>
    <row r="710">
      <c r="I710" s="14"/>
    </row>
    <row r="711">
      <c r="I711" s="14"/>
    </row>
    <row r="712">
      <c r="I712" s="14"/>
    </row>
    <row r="713">
      <c r="I713" s="14"/>
    </row>
    <row r="714">
      <c r="I714" s="14"/>
    </row>
    <row r="715">
      <c r="I715" s="14"/>
    </row>
    <row r="716">
      <c r="I716" s="14"/>
    </row>
    <row r="717">
      <c r="I717" s="14"/>
    </row>
    <row r="718">
      <c r="I718" s="14"/>
    </row>
    <row r="719">
      <c r="I719" s="14"/>
    </row>
    <row r="720">
      <c r="I720" s="14"/>
    </row>
    <row r="721">
      <c r="I721" s="14"/>
    </row>
    <row r="722">
      <c r="I722" s="14"/>
    </row>
    <row r="723">
      <c r="I723" s="14"/>
    </row>
    <row r="724">
      <c r="I724" s="14"/>
    </row>
    <row r="725">
      <c r="I725" s="14"/>
    </row>
    <row r="726">
      <c r="I726" s="14"/>
    </row>
    <row r="727">
      <c r="I727" s="14"/>
    </row>
    <row r="728">
      <c r="I728" s="14"/>
    </row>
    <row r="729">
      <c r="I729" s="14"/>
    </row>
    <row r="730">
      <c r="I730" s="14"/>
    </row>
    <row r="731">
      <c r="I731" s="14"/>
    </row>
    <row r="732">
      <c r="I732" s="14"/>
    </row>
    <row r="733">
      <c r="I733" s="14"/>
    </row>
    <row r="734">
      <c r="I734" s="14"/>
    </row>
    <row r="735">
      <c r="I735" s="14"/>
    </row>
    <row r="736">
      <c r="I736" s="14"/>
    </row>
    <row r="737">
      <c r="I737" s="14"/>
    </row>
    <row r="738">
      <c r="I738" s="14"/>
    </row>
    <row r="739">
      <c r="I739" s="14"/>
    </row>
    <row r="740">
      <c r="I740" s="14"/>
    </row>
    <row r="741">
      <c r="I741" s="14"/>
    </row>
    <row r="742">
      <c r="I742" s="14"/>
    </row>
    <row r="743">
      <c r="I743" s="14"/>
    </row>
    <row r="744">
      <c r="I744" s="14"/>
    </row>
    <row r="745">
      <c r="I745" s="14"/>
    </row>
    <row r="746">
      <c r="I746" s="14"/>
    </row>
    <row r="747">
      <c r="I747" s="14"/>
    </row>
    <row r="748">
      <c r="I748" s="14"/>
    </row>
    <row r="749">
      <c r="I749" s="14"/>
    </row>
    <row r="750">
      <c r="I750" s="14"/>
    </row>
    <row r="751">
      <c r="I751" s="14"/>
    </row>
    <row r="752">
      <c r="I752" s="14"/>
    </row>
    <row r="753">
      <c r="I753" s="14"/>
    </row>
    <row r="754">
      <c r="I754" s="14"/>
    </row>
    <row r="755">
      <c r="I755" s="14"/>
    </row>
    <row r="756">
      <c r="I756" s="14"/>
    </row>
    <row r="757">
      <c r="I757" s="14"/>
    </row>
    <row r="758">
      <c r="I758" s="14"/>
    </row>
    <row r="759">
      <c r="I759" s="14"/>
    </row>
    <row r="760">
      <c r="I760" s="14"/>
    </row>
    <row r="761">
      <c r="I761" s="14"/>
    </row>
    <row r="762">
      <c r="I762" s="14"/>
    </row>
    <row r="763">
      <c r="I763" s="14"/>
    </row>
    <row r="764">
      <c r="I764" s="14"/>
    </row>
    <row r="765">
      <c r="I765" s="14"/>
    </row>
    <row r="766">
      <c r="I766" s="14"/>
    </row>
    <row r="767">
      <c r="I767" s="14"/>
    </row>
    <row r="768">
      <c r="I768" s="14"/>
    </row>
    <row r="769">
      <c r="I769" s="14"/>
    </row>
    <row r="770">
      <c r="I770" s="14"/>
    </row>
    <row r="771">
      <c r="I771" s="14"/>
    </row>
    <row r="772">
      <c r="I772" s="14"/>
    </row>
    <row r="773">
      <c r="I773" s="14"/>
    </row>
    <row r="774">
      <c r="I774" s="14"/>
    </row>
    <row r="775">
      <c r="I775" s="14"/>
    </row>
    <row r="776">
      <c r="I776" s="14"/>
    </row>
    <row r="777">
      <c r="I777" s="14"/>
    </row>
    <row r="778">
      <c r="I778" s="14"/>
    </row>
    <row r="779">
      <c r="I779" s="14"/>
    </row>
    <row r="780">
      <c r="I780" s="14"/>
    </row>
    <row r="781">
      <c r="I781" s="14"/>
    </row>
    <row r="782">
      <c r="I782" s="14"/>
    </row>
    <row r="783">
      <c r="I783" s="14"/>
    </row>
    <row r="784">
      <c r="I784" s="14"/>
    </row>
    <row r="785">
      <c r="I785" s="14"/>
    </row>
    <row r="786">
      <c r="I786" s="14"/>
    </row>
    <row r="787">
      <c r="I787" s="14"/>
    </row>
    <row r="788">
      <c r="I788" s="14"/>
    </row>
    <row r="789">
      <c r="I789" s="14"/>
    </row>
    <row r="790">
      <c r="I790" s="14"/>
    </row>
    <row r="791">
      <c r="I791" s="14"/>
    </row>
    <row r="792">
      <c r="I792" s="14"/>
    </row>
    <row r="793">
      <c r="I793" s="14"/>
    </row>
    <row r="794">
      <c r="I794" s="14"/>
    </row>
    <row r="795">
      <c r="I795" s="14"/>
    </row>
    <row r="796">
      <c r="I796" s="14"/>
    </row>
    <row r="797">
      <c r="I797" s="14"/>
    </row>
    <row r="798">
      <c r="I798" s="14"/>
    </row>
    <row r="799">
      <c r="I799" s="14"/>
    </row>
    <row r="800">
      <c r="I800" s="14"/>
    </row>
    <row r="801">
      <c r="I801" s="14"/>
    </row>
    <row r="802">
      <c r="I802" s="14"/>
    </row>
    <row r="803">
      <c r="I803" s="14"/>
    </row>
    <row r="804">
      <c r="I804" s="14"/>
    </row>
    <row r="805">
      <c r="I805" s="14"/>
    </row>
    <row r="806">
      <c r="I806" s="14"/>
    </row>
    <row r="807">
      <c r="I807" s="14"/>
    </row>
    <row r="808">
      <c r="I808" s="14"/>
    </row>
    <row r="809">
      <c r="I809" s="14"/>
    </row>
    <row r="810">
      <c r="I810" s="14"/>
    </row>
    <row r="811">
      <c r="I811" s="14"/>
    </row>
    <row r="812">
      <c r="I812" s="14"/>
    </row>
    <row r="813">
      <c r="I813" s="14"/>
    </row>
    <row r="814">
      <c r="I814" s="14"/>
    </row>
    <row r="815">
      <c r="I815" s="14"/>
    </row>
    <row r="816">
      <c r="I816" s="14"/>
    </row>
    <row r="817">
      <c r="I817" s="14"/>
    </row>
    <row r="818">
      <c r="I818" s="14"/>
    </row>
    <row r="819">
      <c r="I819" s="14"/>
    </row>
    <row r="820">
      <c r="I820" s="14"/>
    </row>
    <row r="821">
      <c r="I821" s="14"/>
    </row>
    <row r="822">
      <c r="I822" s="14"/>
    </row>
    <row r="823">
      <c r="I823" s="14"/>
    </row>
    <row r="824">
      <c r="I824" s="14"/>
    </row>
    <row r="825">
      <c r="I825" s="14"/>
    </row>
    <row r="826">
      <c r="I826" s="14"/>
    </row>
    <row r="827">
      <c r="I827" s="14"/>
    </row>
    <row r="828">
      <c r="I828" s="14"/>
    </row>
    <row r="829">
      <c r="I829" s="14"/>
    </row>
    <row r="830">
      <c r="I830" s="14"/>
    </row>
    <row r="831">
      <c r="I831" s="14"/>
    </row>
    <row r="832">
      <c r="I832" s="14"/>
    </row>
    <row r="833">
      <c r="I833" s="14"/>
    </row>
    <row r="834">
      <c r="I834" s="14"/>
    </row>
    <row r="835">
      <c r="I835" s="14"/>
    </row>
    <row r="836">
      <c r="I836" s="14"/>
    </row>
    <row r="837">
      <c r="I837" s="14"/>
    </row>
    <row r="838">
      <c r="I838" s="14"/>
    </row>
    <row r="839">
      <c r="I839" s="14"/>
    </row>
    <row r="840">
      <c r="I840" s="14"/>
    </row>
    <row r="841">
      <c r="I841" s="14"/>
    </row>
    <row r="842">
      <c r="I842" s="14"/>
    </row>
    <row r="843">
      <c r="I843" s="14"/>
    </row>
    <row r="844">
      <c r="I844" s="14"/>
    </row>
    <row r="845">
      <c r="I845" s="14"/>
    </row>
    <row r="846">
      <c r="I846" s="14"/>
    </row>
    <row r="847">
      <c r="I847" s="14"/>
    </row>
    <row r="848">
      <c r="I848" s="14"/>
    </row>
    <row r="849">
      <c r="I849" s="14"/>
    </row>
    <row r="850">
      <c r="I850" s="14"/>
    </row>
    <row r="851">
      <c r="I851" s="14"/>
    </row>
    <row r="852">
      <c r="I852" s="14"/>
    </row>
    <row r="853">
      <c r="I853" s="14"/>
    </row>
    <row r="854">
      <c r="I854" s="14"/>
    </row>
    <row r="855">
      <c r="I855" s="14"/>
    </row>
    <row r="856">
      <c r="I856" s="14"/>
    </row>
    <row r="857">
      <c r="I857" s="14"/>
    </row>
    <row r="858">
      <c r="I858" s="14"/>
    </row>
    <row r="859">
      <c r="I859" s="14"/>
    </row>
    <row r="860">
      <c r="I860" s="14"/>
    </row>
    <row r="861">
      <c r="I861" s="14"/>
    </row>
    <row r="862">
      <c r="I862" s="14"/>
    </row>
    <row r="863">
      <c r="I863" s="14"/>
    </row>
    <row r="864">
      <c r="I864" s="14"/>
    </row>
    <row r="865">
      <c r="I865" s="14"/>
    </row>
    <row r="866">
      <c r="I866" s="14"/>
    </row>
    <row r="867">
      <c r="I867" s="14"/>
    </row>
    <row r="868">
      <c r="I868" s="14"/>
    </row>
    <row r="869">
      <c r="I869" s="14"/>
    </row>
    <row r="870">
      <c r="I870" s="14"/>
    </row>
    <row r="871">
      <c r="I871" s="14"/>
    </row>
    <row r="872">
      <c r="I872" s="14"/>
    </row>
    <row r="873">
      <c r="I873" s="14"/>
    </row>
    <row r="874">
      <c r="I874" s="14"/>
    </row>
    <row r="875">
      <c r="I875" s="14"/>
    </row>
    <row r="876">
      <c r="I876" s="14"/>
    </row>
    <row r="877">
      <c r="I877" s="14"/>
    </row>
    <row r="878">
      <c r="I878" s="14"/>
    </row>
    <row r="879">
      <c r="I879" s="14"/>
    </row>
    <row r="880">
      <c r="I880" s="14"/>
    </row>
    <row r="881">
      <c r="I881" s="14"/>
    </row>
    <row r="882">
      <c r="I882" s="14"/>
    </row>
    <row r="883">
      <c r="I883" s="14"/>
    </row>
    <row r="884">
      <c r="I884" s="14"/>
    </row>
    <row r="885">
      <c r="I885" s="14"/>
    </row>
    <row r="886">
      <c r="I886" s="14"/>
    </row>
    <row r="887">
      <c r="I887" s="14"/>
    </row>
    <row r="888">
      <c r="I888" s="14"/>
    </row>
    <row r="889">
      <c r="I889" s="14"/>
    </row>
    <row r="890">
      <c r="I890" s="14"/>
    </row>
    <row r="891">
      <c r="I891" s="14"/>
    </row>
    <row r="892">
      <c r="I892" s="14"/>
    </row>
    <row r="893">
      <c r="I893" s="14"/>
    </row>
    <row r="894">
      <c r="I894" s="14"/>
    </row>
    <row r="895">
      <c r="I895" s="14"/>
    </row>
    <row r="896">
      <c r="I896" s="14"/>
    </row>
    <row r="897">
      <c r="I897" s="14"/>
    </row>
    <row r="898">
      <c r="I898" s="14"/>
    </row>
    <row r="899">
      <c r="I899" s="14"/>
    </row>
    <row r="900">
      <c r="I900" s="14"/>
    </row>
    <row r="901">
      <c r="I901" s="14"/>
    </row>
    <row r="902">
      <c r="I902" s="14"/>
    </row>
    <row r="903">
      <c r="I903" s="14"/>
    </row>
    <row r="904">
      <c r="I904" s="14"/>
    </row>
    <row r="905">
      <c r="I905" s="14"/>
    </row>
    <row r="906">
      <c r="I906" s="14"/>
    </row>
    <row r="907">
      <c r="I907" s="14"/>
    </row>
    <row r="908">
      <c r="I908" s="14"/>
    </row>
    <row r="909">
      <c r="I909" s="14"/>
    </row>
    <row r="910">
      <c r="I910" s="14"/>
    </row>
    <row r="911">
      <c r="I911" s="14"/>
    </row>
    <row r="912">
      <c r="I912" s="14"/>
    </row>
    <row r="913">
      <c r="I913" s="14"/>
    </row>
    <row r="914">
      <c r="I914" s="14"/>
    </row>
    <row r="915">
      <c r="I915" s="14"/>
    </row>
    <row r="916">
      <c r="I916" s="14"/>
    </row>
    <row r="917">
      <c r="I917" s="14"/>
    </row>
    <row r="918">
      <c r="I918" s="14"/>
    </row>
    <row r="919">
      <c r="I919" s="14"/>
    </row>
    <row r="920">
      <c r="I920" s="14"/>
    </row>
    <row r="921">
      <c r="I921" s="14"/>
    </row>
    <row r="922">
      <c r="I922" s="14"/>
    </row>
    <row r="923">
      <c r="I923" s="14"/>
    </row>
    <row r="924">
      <c r="I924" s="14"/>
    </row>
    <row r="925">
      <c r="I925" s="14"/>
    </row>
    <row r="926">
      <c r="I926" s="14"/>
    </row>
    <row r="927">
      <c r="I927" s="14"/>
    </row>
    <row r="928">
      <c r="I928" s="14"/>
    </row>
    <row r="929">
      <c r="I929" s="14"/>
    </row>
    <row r="930">
      <c r="I930" s="14"/>
    </row>
    <row r="931">
      <c r="I931" s="14"/>
    </row>
    <row r="932">
      <c r="I932" s="14"/>
    </row>
    <row r="933">
      <c r="I933" s="14"/>
    </row>
    <row r="934">
      <c r="I934" s="14"/>
    </row>
    <row r="935">
      <c r="I935" s="14"/>
    </row>
    <row r="936">
      <c r="I936" s="14"/>
    </row>
    <row r="937">
      <c r="I937" s="14"/>
    </row>
    <row r="938">
      <c r="I938" s="14"/>
    </row>
    <row r="939">
      <c r="I939" s="14"/>
    </row>
    <row r="940">
      <c r="I940" s="14"/>
    </row>
    <row r="941">
      <c r="I941" s="14"/>
    </row>
    <row r="942">
      <c r="I942" s="14"/>
    </row>
    <row r="943">
      <c r="I943" s="14"/>
    </row>
    <row r="944">
      <c r="I944" s="14"/>
    </row>
    <row r="945">
      <c r="I945" s="14"/>
    </row>
    <row r="946">
      <c r="I946" s="14"/>
    </row>
    <row r="947">
      <c r="I947" s="14"/>
    </row>
    <row r="948">
      <c r="I948" s="14"/>
    </row>
    <row r="949">
      <c r="I949" s="14"/>
    </row>
    <row r="950">
      <c r="I950" s="14"/>
    </row>
    <row r="951">
      <c r="I951" s="14"/>
    </row>
    <row r="952">
      <c r="I952" s="14"/>
    </row>
    <row r="953">
      <c r="I953" s="14"/>
    </row>
    <row r="954">
      <c r="I954" s="14"/>
    </row>
    <row r="955">
      <c r="I955" s="14"/>
    </row>
    <row r="956">
      <c r="I956" s="14"/>
    </row>
    <row r="957">
      <c r="I957" s="14"/>
    </row>
    <row r="958">
      <c r="I958" s="14"/>
    </row>
    <row r="959">
      <c r="I959" s="14"/>
    </row>
    <row r="960">
      <c r="I960" s="14"/>
    </row>
    <row r="961">
      <c r="I961" s="14"/>
    </row>
    <row r="962">
      <c r="I962" s="14"/>
    </row>
    <row r="963">
      <c r="I963" s="14"/>
    </row>
    <row r="964">
      <c r="I964" s="14"/>
    </row>
    <row r="965">
      <c r="I965" s="14"/>
    </row>
    <row r="966">
      <c r="I966" s="14"/>
    </row>
    <row r="967">
      <c r="I967" s="14"/>
    </row>
    <row r="968">
      <c r="I968" s="14"/>
    </row>
    <row r="969">
      <c r="I969" s="14"/>
    </row>
    <row r="970">
      <c r="I970" s="14"/>
    </row>
    <row r="971">
      <c r="I971" s="14"/>
    </row>
    <row r="972">
      <c r="I972" s="14"/>
    </row>
    <row r="973">
      <c r="I973" s="14"/>
    </row>
    <row r="974">
      <c r="I974" s="14"/>
    </row>
    <row r="975">
      <c r="I975" s="14"/>
    </row>
    <row r="976">
      <c r="I976" s="14"/>
    </row>
    <row r="977">
      <c r="I977" s="14"/>
    </row>
    <row r="978">
      <c r="I978" s="14"/>
    </row>
    <row r="979">
      <c r="I979" s="14"/>
    </row>
    <row r="980">
      <c r="I980" s="14"/>
    </row>
    <row r="981">
      <c r="I981" s="14"/>
    </row>
    <row r="982">
      <c r="I982" s="14"/>
    </row>
    <row r="983">
      <c r="I983" s="14"/>
    </row>
    <row r="984">
      <c r="I984" s="14"/>
    </row>
    <row r="985">
      <c r="I985" s="14"/>
    </row>
    <row r="986">
      <c r="I986" s="14"/>
    </row>
    <row r="987">
      <c r="I987" s="14"/>
    </row>
    <row r="988">
      <c r="I988" s="14"/>
    </row>
    <row r="989">
      <c r="I989" s="14"/>
    </row>
    <row r="990">
      <c r="I990" s="14"/>
    </row>
    <row r="991">
      <c r="I991" s="14"/>
    </row>
    <row r="992">
      <c r="I992" s="14"/>
    </row>
    <row r="993">
      <c r="I993" s="14"/>
    </row>
    <row r="994">
      <c r="I994" s="14"/>
    </row>
    <row r="995">
      <c r="I995" s="14"/>
    </row>
    <row r="996">
      <c r="I996" s="14"/>
    </row>
    <row r="997">
      <c r="I997" s="14"/>
    </row>
    <row r="998">
      <c r="I998" s="14"/>
    </row>
    <row r="999">
      <c r="I999" s="14"/>
    </row>
    <row r="1000">
      <c r="I1000" s="1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3.11"/>
    <col customWidth="1" min="3" max="3" width="36.67"/>
    <col customWidth="1" min="4" max="4" width="29.33"/>
    <col customWidth="1" min="5" max="6" width="23.11"/>
    <col customWidth="1" min="7" max="7" width="31.78"/>
    <col customWidth="1" min="8" max="8" width="36.22"/>
    <col customWidth="1" min="9" max="9" width="23.11"/>
    <col customWidth="1" min="10" max="10" width="35.78"/>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276.75" customHeight="1">
      <c r="A2" s="34">
        <v>46025.0</v>
      </c>
      <c r="B2" s="24" t="s">
        <v>441</v>
      </c>
      <c r="C2" s="24" t="s">
        <v>449</v>
      </c>
      <c r="D2" s="24" t="s">
        <v>450</v>
      </c>
      <c r="E2" s="24" t="s">
        <v>451</v>
      </c>
      <c r="F2" s="24" t="s">
        <v>452</v>
      </c>
      <c r="G2" s="24" t="s">
        <v>453</v>
      </c>
      <c r="H2" s="24" t="s">
        <v>454</v>
      </c>
      <c r="I2" s="27" t="s">
        <v>389</v>
      </c>
      <c r="J2" s="24" t="s">
        <v>455</v>
      </c>
      <c r="K2" s="24"/>
      <c r="L2" s="24"/>
      <c r="M2" s="24"/>
      <c r="N2" s="24"/>
      <c r="O2" s="24"/>
      <c r="P2" s="24"/>
      <c r="Q2" s="24"/>
      <c r="R2" s="24"/>
      <c r="S2" s="24"/>
      <c r="T2" s="22"/>
      <c r="U2" s="22"/>
      <c r="V2" s="22"/>
      <c r="W2" s="22"/>
      <c r="X2" s="22"/>
      <c r="Y2" s="22"/>
      <c r="Z2" s="22"/>
    </row>
    <row r="3" ht="552.75" customHeight="1">
      <c r="A3" s="35">
        <v>46056.0</v>
      </c>
      <c r="B3" s="24" t="s">
        <v>441</v>
      </c>
      <c r="C3" s="24" t="s">
        <v>456</v>
      </c>
      <c r="D3" s="24" t="s">
        <v>457</v>
      </c>
      <c r="E3" s="24" t="s">
        <v>458</v>
      </c>
      <c r="F3" s="24" t="s">
        <v>459</v>
      </c>
      <c r="G3" s="24" t="s">
        <v>460</v>
      </c>
      <c r="H3" s="24" t="s">
        <v>461</v>
      </c>
      <c r="I3" s="27" t="s">
        <v>389</v>
      </c>
      <c r="J3" s="24" t="s">
        <v>462</v>
      </c>
      <c r="K3" s="24"/>
      <c r="L3" s="24"/>
      <c r="M3" s="24"/>
      <c r="N3" s="24"/>
      <c r="O3" s="24"/>
      <c r="P3" s="24"/>
      <c r="Q3" s="24"/>
      <c r="R3" s="24"/>
      <c r="S3" s="24"/>
      <c r="T3" s="22"/>
      <c r="U3" s="22"/>
      <c r="V3" s="22"/>
      <c r="W3" s="22"/>
      <c r="X3" s="22"/>
      <c r="Y3" s="22"/>
      <c r="Z3" s="2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3" width="18.89"/>
    <col customWidth="1" min="4" max="4" width="52.44"/>
    <col customWidth="1" min="5" max="5" width="44.33"/>
    <col customWidth="1" min="6" max="6" width="28.33"/>
    <col customWidth="1" min="7" max="7" width="36.0"/>
    <col customWidth="1" min="8" max="8" width="37.44"/>
    <col customWidth="1" min="9" max="9" width="45.89"/>
    <col customWidth="1" min="10" max="10" width="18.89"/>
    <col customWidth="1" min="11" max="11" width="48.67"/>
  </cols>
  <sheetData>
    <row r="1">
      <c r="A1" s="1" t="s">
        <v>0</v>
      </c>
      <c r="B1" s="1" t="s">
        <v>1</v>
      </c>
      <c r="C1" s="2" t="s">
        <v>2</v>
      </c>
      <c r="D1" s="2" t="s">
        <v>3</v>
      </c>
      <c r="E1" s="2" t="s">
        <v>4</v>
      </c>
      <c r="F1" s="2" t="s">
        <v>5</v>
      </c>
      <c r="G1" s="2" t="s">
        <v>6</v>
      </c>
      <c r="H1" s="7" t="s">
        <v>7</v>
      </c>
      <c r="I1" s="36" t="s">
        <v>8</v>
      </c>
      <c r="J1" s="15" t="s">
        <v>87</v>
      </c>
      <c r="K1" s="7" t="s">
        <v>9</v>
      </c>
      <c r="L1" s="22"/>
      <c r="M1" s="22"/>
      <c r="N1" s="22"/>
      <c r="O1" s="22"/>
      <c r="P1" s="22"/>
      <c r="Q1" s="22"/>
      <c r="R1" s="22"/>
      <c r="S1" s="22"/>
      <c r="T1" s="22"/>
      <c r="U1" s="22"/>
      <c r="V1" s="22"/>
      <c r="W1" s="22"/>
      <c r="X1" s="22"/>
      <c r="Y1" s="22"/>
      <c r="Z1" s="22"/>
      <c r="AA1" s="22"/>
    </row>
    <row r="2" ht="288.75" customHeight="1">
      <c r="A2" s="19">
        <v>4.0</v>
      </c>
      <c r="B2" s="35">
        <v>46026.0</v>
      </c>
      <c r="C2" s="24" t="s">
        <v>463</v>
      </c>
      <c r="D2" s="24" t="s">
        <v>464</v>
      </c>
      <c r="E2" s="24" t="s">
        <v>465</v>
      </c>
      <c r="F2" s="24" t="s">
        <v>466</v>
      </c>
      <c r="G2" s="24" t="s">
        <v>467</v>
      </c>
      <c r="H2" s="24" t="s">
        <v>468</v>
      </c>
      <c r="I2" s="28" t="s">
        <v>469</v>
      </c>
      <c r="J2" s="27" t="s">
        <v>389</v>
      </c>
      <c r="K2" s="24" t="s">
        <v>470</v>
      </c>
      <c r="L2" s="24"/>
      <c r="M2" s="24"/>
      <c r="N2" s="24"/>
      <c r="O2" s="24"/>
      <c r="P2" s="24"/>
      <c r="Q2" s="24"/>
      <c r="R2" s="24"/>
      <c r="S2" s="24"/>
      <c r="T2" s="22"/>
      <c r="U2" s="22"/>
      <c r="V2" s="22"/>
      <c r="W2" s="22"/>
      <c r="X2" s="22"/>
      <c r="Y2" s="22"/>
      <c r="Z2" s="22"/>
      <c r="AA2" s="22"/>
    </row>
    <row r="3" ht="104.25" customHeight="1">
      <c r="A3" s="19">
        <v>4.0</v>
      </c>
      <c r="B3" s="35">
        <v>46057.0</v>
      </c>
      <c r="C3" s="24" t="s">
        <v>471</v>
      </c>
      <c r="D3" s="24" t="s">
        <v>472</v>
      </c>
      <c r="E3" s="24" t="s">
        <v>473</v>
      </c>
      <c r="F3" s="24" t="s">
        <v>474</v>
      </c>
      <c r="G3" s="24" t="s">
        <v>475</v>
      </c>
      <c r="H3" s="24" t="s">
        <v>476</v>
      </c>
      <c r="I3" s="28" t="s">
        <v>477</v>
      </c>
      <c r="J3" s="27" t="s">
        <v>389</v>
      </c>
      <c r="L3" s="24"/>
      <c r="M3" s="24"/>
      <c r="N3" s="24"/>
      <c r="O3" s="24"/>
      <c r="P3" s="24"/>
      <c r="Q3" s="24"/>
      <c r="R3" s="24"/>
      <c r="S3" s="24"/>
      <c r="T3" s="22"/>
      <c r="U3" s="22"/>
      <c r="V3" s="22"/>
      <c r="W3" s="22"/>
      <c r="X3" s="22"/>
      <c r="Y3" s="22"/>
      <c r="Z3" s="22"/>
      <c r="AA3" s="22"/>
    </row>
    <row r="4" ht="104.25" customHeight="1">
      <c r="A4" s="19">
        <v>4.0</v>
      </c>
      <c r="B4" s="35">
        <v>46085.0</v>
      </c>
      <c r="C4" s="24" t="s">
        <v>478</v>
      </c>
      <c r="D4" s="24" t="s">
        <v>479</v>
      </c>
      <c r="E4" s="24" t="s">
        <v>480</v>
      </c>
      <c r="F4" s="24" t="s">
        <v>481</v>
      </c>
      <c r="G4" s="24" t="s">
        <v>482</v>
      </c>
      <c r="H4" s="24" t="s">
        <v>483</v>
      </c>
      <c r="I4" s="28" t="s">
        <v>484</v>
      </c>
      <c r="J4" s="27" t="s">
        <v>389</v>
      </c>
      <c r="L4" s="24"/>
      <c r="M4" s="24"/>
      <c r="N4" s="24"/>
      <c r="O4" s="24"/>
      <c r="P4" s="24"/>
      <c r="Q4" s="24"/>
      <c r="R4" s="24"/>
      <c r="S4" s="24"/>
      <c r="T4" s="22"/>
      <c r="U4" s="22"/>
      <c r="V4" s="22"/>
      <c r="W4" s="22"/>
      <c r="X4" s="22"/>
      <c r="Y4" s="22"/>
      <c r="Z4" s="22"/>
      <c r="AA4" s="22"/>
    </row>
    <row r="5">
      <c r="A5" s="19">
        <v>4.0</v>
      </c>
      <c r="B5" s="35">
        <v>46116.0</v>
      </c>
      <c r="C5" s="24" t="s">
        <v>485</v>
      </c>
      <c r="D5" s="24" t="s">
        <v>486</v>
      </c>
      <c r="E5" s="24" t="s">
        <v>487</v>
      </c>
      <c r="F5" s="24" t="s">
        <v>488</v>
      </c>
      <c r="G5" s="24" t="s">
        <v>489</v>
      </c>
      <c r="H5" s="24" t="s">
        <v>490</v>
      </c>
      <c r="I5" s="28" t="s">
        <v>491</v>
      </c>
      <c r="J5" s="27" t="s">
        <v>389</v>
      </c>
      <c r="L5" s="24"/>
      <c r="M5" s="24"/>
      <c r="N5" s="24"/>
      <c r="O5" s="24"/>
      <c r="P5" s="24"/>
      <c r="Q5" s="24"/>
      <c r="R5" s="24"/>
      <c r="S5" s="24"/>
      <c r="T5" s="22"/>
      <c r="U5" s="22"/>
      <c r="V5" s="22"/>
      <c r="W5" s="22"/>
      <c r="X5" s="22"/>
      <c r="Y5" s="22"/>
      <c r="Z5" s="22"/>
      <c r="AA5" s="22"/>
    </row>
    <row r="6">
      <c r="A6" s="19">
        <v>4.0</v>
      </c>
      <c r="B6" s="35">
        <v>46146.0</v>
      </c>
      <c r="C6" s="24" t="s">
        <v>492</v>
      </c>
      <c r="D6" s="24" t="s">
        <v>493</v>
      </c>
      <c r="E6" s="24" t="s">
        <v>494</v>
      </c>
      <c r="F6" s="24" t="s">
        <v>495</v>
      </c>
      <c r="G6" s="24" t="s">
        <v>496</v>
      </c>
      <c r="H6" s="24" t="s">
        <v>497</v>
      </c>
      <c r="I6" s="28" t="s">
        <v>498</v>
      </c>
      <c r="J6" s="27" t="s">
        <v>389</v>
      </c>
      <c r="L6" s="24"/>
      <c r="M6" s="24"/>
      <c r="N6" s="24"/>
      <c r="O6" s="24"/>
      <c r="P6" s="24"/>
      <c r="Q6" s="24"/>
      <c r="R6" s="24"/>
      <c r="S6" s="24"/>
      <c r="T6" s="22"/>
      <c r="U6" s="22"/>
      <c r="V6" s="22"/>
      <c r="W6" s="22"/>
      <c r="X6" s="22"/>
      <c r="Y6" s="22"/>
      <c r="Z6" s="22"/>
      <c r="AA6" s="22"/>
    </row>
    <row r="7">
      <c r="I7" s="37"/>
      <c r="J7" s="11"/>
    </row>
    <row r="8">
      <c r="I8" s="37"/>
      <c r="J8" s="11"/>
    </row>
    <row r="9">
      <c r="I9" s="37"/>
      <c r="J9" s="11"/>
    </row>
    <row r="10">
      <c r="I10" s="37"/>
      <c r="J10" s="11"/>
    </row>
    <row r="11">
      <c r="I11" s="37"/>
      <c r="J11" s="11"/>
    </row>
    <row r="12">
      <c r="I12" s="37"/>
      <c r="J12" s="11"/>
    </row>
    <row r="13">
      <c r="I13" s="37"/>
      <c r="J13" s="11"/>
    </row>
    <row r="14">
      <c r="I14" s="37"/>
      <c r="J14" s="11"/>
    </row>
    <row r="15">
      <c r="I15" s="37"/>
      <c r="J15" s="11"/>
    </row>
    <row r="16">
      <c r="I16" s="37"/>
      <c r="J16" s="11"/>
    </row>
    <row r="17">
      <c r="I17" s="37"/>
      <c r="J17" s="11"/>
    </row>
    <row r="18">
      <c r="I18" s="37"/>
      <c r="J18" s="11"/>
    </row>
    <row r="19">
      <c r="I19" s="37"/>
      <c r="J19" s="11"/>
    </row>
    <row r="20">
      <c r="I20" s="37"/>
      <c r="J20" s="11"/>
    </row>
    <row r="21">
      <c r="I21" s="37"/>
      <c r="J21" s="11"/>
    </row>
    <row r="22">
      <c r="I22" s="37"/>
      <c r="J22" s="11"/>
    </row>
    <row r="23">
      <c r="I23" s="37"/>
      <c r="J23" s="11"/>
    </row>
    <row r="24">
      <c r="I24" s="37"/>
      <c r="J24" s="11"/>
    </row>
    <row r="25">
      <c r="I25" s="37"/>
      <c r="J25" s="11"/>
    </row>
    <row r="26">
      <c r="I26" s="37"/>
      <c r="J26" s="11"/>
    </row>
    <row r="27">
      <c r="I27" s="37"/>
      <c r="J27" s="11"/>
    </row>
    <row r="28">
      <c r="I28" s="37"/>
      <c r="J28" s="11"/>
    </row>
    <row r="29">
      <c r="I29" s="37"/>
      <c r="J29" s="11"/>
    </row>
    <row r="30">
      <c r="I30" s="37"/>
      <c r="J30" s="11"/>
    </row>
    <row r="31">
      <c r="I31" s="37"/>
      <c r="J31" s="11"/>
    </row>
    <row r="32">
      <c r="I32" s="37"/>
      <c r="J32" s="11"/>
    </row>
    <row r="33">
      <c r="I33" s="37"/>
      <c r="J33" s="11"/>
    </row>
    <row r="34">
      <c r="I34" s="37"/>
      <c r="J34" s="11"/>
    </row>
    <row r="35">
      <c r="I35" s="37"/>
      <c r="J35" s="11"/>
    </row>
    <row r="36">
      <c r="I36" s="37"/>
      <c r="J36" s="11"/>
    </row>
    <row r="37">
      <c r="I37" s="37"/>
      <c r="J37" s="11"/>
    </row>
    <row r="38">
      <c r="I38" s="37"/>
      <c r="J38" s="11"/>
    </row>
    <row r="39">
      <c r="I39" s="37"/>
      <c r="J39" s="11"/>
    </row>
    <row r="40">
      <c r="I40" s="37"/>
      <c r="J40" s="11"/>
    </row>
    <row r="41">
      <c r="I41" s="37"/>
      <c r="J41" s="11"/>
    </row>
    <row r="42">
      <c r="I42" s="37"/>
      <c r="J42" s="11"/>
    </row>
    <row r="43">
      <c r="I43" s="37"/>
      <c r="J43" s="11"/>
    </row>
    <row r="44">
      <c r="I44" s="37"/>
      <c r="J44" s="11"/>
    </row>
    <row r="45">
      <c r="I45" s="37"/>
      <c r="J45" s="11"/>
    </row>
    <row r="46">
      <c r="I46" s="37"/>
      <c r="J46" s="11"/>
    </row>
    <row r="47">
      <c r="I47" s="37"/>
      <c r="J47" s="11"/>
    </row>
    <row r="48">
      <c r="I48" s="37"/>
      <c r="J48" s="11"/>
    </row>
    <row r="49">
      <c r="I49" s="37"/>
      <c r="J49" s="11"/>
    </row>
    <row r="50">
      <c r="I50" s="37"/>
      <c r="J50" s="11"/>
    </row>
    <row r="51">
      <c r="I51" s="37"/>
      <c r="J51" s="11"/>
    </row>
    <row r="52">
      <c r="I52" s="37"/>
      <c r="J52" s="11"/>
    </row>
    <row r="53">
      <c r="I53" s="37"/>
      <c r="J53" s="11"/>
    </row>
    <row r="54">
      <c r="I54" s="37"/>
      <c r="J54" s="11"/>
    </row>
    <row r="55">
      <c r="I55" s="37"/>
      <c r="J55" s="11"/>
    </row>
    <row r="56">
      <c r="I56" s="37"/>
      <c r="J56" s="11"/>
    </row>
    <row r="57">
      <c r="I57" s="37"/>
      <c r="J57" s="11"/>
    </row>
    <row r="58">
      <c r="I58" s="37"/>
      <c r="J58" s="11"/>
    </row>
    <row r="59">
      <c r="I59" s="37"/>
      <c r="J59" s="11"/>
    </row>
    <row r="60">
      <c r="I60" s="37"/>
      <c r="J60" s="11"/>
    </row>
    <row r="61">
      <c r="I61" s="37"/>
      <c r="J61" s="11"/>
    </row>
    <row r="62">
      <c r="I62" s="37"/>
      <c r="J62" s="11"/>
    </row>
    <row r="63">
      <c r="I63" s="37"/>
      <c r="J63" s="11"/>
    </row>
    <row r="64">
      <c r="I64" s="37"/>
      <c r="J64" s="11"/>
    </row>
    <row r="65">
      <c r="I65" s="37"/>
      <c r="J65" s="11"/>
    </row>
    <row r="66">
      <c r="I66" s="37"/>
      <c r="J66" s="11"/>
    </row>
    <row r="67">
      <c r="I67" s="37"/>
      <c r="J67" s="11"/>
    </row>
    <row r="68">
      <c r="I68" s="37"/>
      <c r="J68" s="11"/>
    </row>
    <row r="69">
      <c r="I69" s="37"/>
      <c r="J69" s="11"/>
    </row>
    <row r="70">
      <c r="I70" s="37"/>
      <c r="J70" s="11"/>
    </row>
    <row r="71">
      <c r="I71" s="37"/>
      <c r="J71" s="11"/>
    </row>
    <row r="72">
      <c r="I72" s="37"/>
      <c r="J72" s="11"/>
    </row>
    <row r="73">
      <c r="I73" s="37"/>
      <c r="J73" s="11"/>
    </row>
    <row r="74">
      <c r="I74" s="37"/>
      <c r="J74" s="11"/>
    </row>
    <row r="75">
      <c r="I75" s="37"/>
      <c r="J75" s="11"/>
    </row>
    <row r="76">
      <c r="I76" s="37"/>
      <c r="J76" s="11"/>
    </row>
    <row r="77">
      <c r="I77" s="37"/>
      <c r="J77" s="11"/>
    </row>
    <row r="78">
      <c r="I78" s="37"/>
      <c r="J78" s="11"/>
    </row>
    <row r="79">
      <c r="I79" s="37"/>
      <c r="J79" s="11"/>
    </row>
    <row r="80">
      <c r="I80" s="37"/>
      <c r="J80" s="11"/>
    </row>
    <row r="81">
      <c r="I81" s="37"/>
      <c r="J81" s="11"/>
    </row>
    <row r="82">
      <c r="I82" s="37"/>
      <c r="J82" s="11"/>
    </row>
    <row r="83">
      <c r="I83" s="37"/>
      <c r="J83" s="11"/>
    </row>
    <row r="84">
      <c r="I84" s="37"/>
      <c r="J84" s="11"/>
    </row>
    <row r="85">
      <c r="I85" s="37"/>
      <c r="J85" s="11"/>
    </row>
    <row r="86">
      <c r="I86" s="37"/>
      <c r="J86" s="11"/>
    </row>
    <row r="87">
      <c r="I87" s="37"/>
      <c r="J87" s="11"/>
    </row>
    <row r="88">
      <c r="I88" s="37"/>
      <c r="J88" s="11"/>
    </row>
    <row r="89">
      <c r="I89" s="37"/>
      <c r="J89" s="11"/>
    </row>
    <row r="90">
      <c r="I90" s="37"/>
      <c r="J90" s="11"/>
    </row>
    <row r="91">
      <c r="I91" s="37"/>
      <c r="J91" s="11"/>
    </row>
    <row r="92">
      <c r="I92" s="37"/>
      <c r="J92" s="11"/>
    </row>
    <row r="93">
      <c r="I93" s="37"/>
      <c r="J93" s="11"/>
    </row>
    <row r="94">
      <c r="I94" s="37"/>
      <c r="J94" s="11"/>
    </row>
    <row r="95">
      <c r="I95" s="37"/>
      <c r="J95" s="11"/>
    </row>
    <row r="96">
      <c r="I96" s="37"/>
      <c r="J96" s="11"/>
    </row>
    <row r="97">
      <c r="I97" s="37"/>
      <c r="J97" s="11"/>
    </row>
    <row r="98">
      <c r="I98" s="37"/>
      <c r="J98" s="11"/>
    </row>
    <row r="99">
      <c r="I99" s="37"/>
      <c r="J99" s="11"/>
    </row>
    <row r="100">
      <c r="I100" s="37"/>
      <c r="J100" s="11"/>
    </row>
    <row r="101">
      <c r="I101" s="37"/>
      <c r="J101" s="11"/>
    </row>
    <row r="102">
      <c r="I102" s="37"/>
      <c r="J102" s="11"/>
    </row>
    <row r="103">
      <c r="I103" s="37"/>
      <c r="J103" s="11"/>
    </row>
    <row r="104">
      <c r="I104" s="37"/>
      <c r="J104" s="11"/>
    </row>
    <row r="105">
      <c r="I105" s="37"/>
      <c r="J105" s="11"/>
    </row>
    <row r="106">
      <c r="I106" s="37"/>
      <c r="J106" s="11"/>
    </row>
    <row r="107">
      <c r="I107" s="37"/>
      <c r="J107" s="11"/>
    </row>
    <row r="108">
      <c r="I108" s="37"/>
      <c r="J108" s="11"/>
    </row>
    <row r="109">
      <c r="I109" s="37"/>
      <c r="J109" s="11"/>
    </row>
    <row r="110">
      <c r="I110" s="37"/>
      <c r="J110" s="11"/>
    </row>
    <row r="111">
      <c r="I111" s="37"/>
      <c r="J111" s="11"/>
    </row>
    <row r="112">
      <c r="I112" s="37"/>
      <c r="J112" s="11"/>
    </row>
    <row r="113">
      <c r="I113" s="37"/>
      <c r="J113" s="11"/>
    </row>
    <row r="114">
      <c r="I114" s="37"/>
      <c r="J114" s="11"/>
    </row>
    <row r="115">
      <c r="I115" s="37"/>
      <c r="J115" s="11"/>
    </row>
    <row r="116">
      <c r="I116" s="37"/>
      <c r="J116" s="11"/>
    </row>
    <row r="117">
      <c r="I117" s="37"/>
      <c r="J117" s="11"/>
    </row>
    <row r="118">
      <c r="I118" s="37"/>
      <c r="J118" s="11"/>
    </row>
    <row r="119">
      <c r="I119" s="37"/>
      <c r="J119" s="11"/>
    </row>
    <row r="120">
      <c r="I120" s="37"/>
      <c r="J120" s="11"/>
    </row>
    <row r="121">
      <c r="I121" s="37"/>
      <c r="J121" s="11"/>
    </row>
    <row r="122">
      <c r="I122" s="37"/>
      <c r="J122" s="11"/>
    </row>
    <row r="123">
      <c r="I123" s="37"/>
      <c r="J123" s="11"/>
    </row>
    <row r="124">
      <c r="I124" s="37"/>
      <c r="J124" s="11"/>
    </row>
    <row r="125">
      <c r="I125" s="37"/>
      <c r="J125" s="11"/>
    </row>
    <row r="126">
      <c r="I126" s="37"/>
      <c r="J126" s="11"/>
    </row>
    <row r="127">
      <c r="I127" s="37"/>
      <c r="J127" s="11"/>
    </row>
    <row r="128">
      <c r="I128" s="37"/>
      <c r="J128" s="11"/>
    </row>
    <row r="129">
      <c r="I129" s="37"/>
      <c r="J129" s="11"/>
    </row>
    <row r="130">
      <c r="I130" s="37"/>
      <c r="J130" s="11"/>
    </row>
    <row r="131">
      <c r="I131" s="37"/>
      <c r="J131" s="11"/>
    </row>
    <row r="132">
      <c r="I132" s="37"/>
      <c r="J132" s="11"/>
    </row>
    <row r="133">
      <c r="I133" s="37"/>
      <c r="J133" s="11"/>
    </row>
    <row r="134">
      <c r="I134" s="37"/>
      <c r="J134" s="11"/>
    </row>
    <row r="135">
      <c r="I135" s="37"/>
      <c r="J135" s="11"/>
    </row>
    <row r="136">
      <c r="I136" s="37"/>
      <c r="J136" s="11"/>
    </row>
    <row r="137">
      <c r="I137" s="37"/>
      <c r="J137" s="11"/>
    </row>
    <row r="138">
      <c r="I138" s="37"/>
      <c r="J138" s="11"/>
    </row>
    <row r="139">
      <c r="I139" s="37"/>
      <c r="J139" s="11"/>
    </row>
    <row r="140">
      <c r="I140" s="37"/>
      <c r="J140" s="11"/>
    </row>
    <row r="141">
      <c r="I141" s="37"/>
      <c r="J141" s="11"/>
    </row>
    <row r="142">
      <c r="I142" s="37"/>
      <c r="J142" s="11"/>
    </row>
    <row r="143">
      <c r="I143" s="37"/>
      <c r="J143" s="11"/>
    </row>
    <row r="144">
      <c r="I144" s="37"/>
      <c r="J144" s="11"/>
    </row>
    <row r="145">
      <c r="I145" s="37"/>
      <c r="J145" s="11"/>
    </row>
    <row r="146">
      <c r="I146" s="37"/>
      <c r="J146" s="11"/>
    </row>
    <row r="147">
      <c r="I147" s="37"/>
      <c r="J147" s="11"/>
    </row>
    <row r="148">
      <c r="I148" s="37"/>
      <c r="J148" s="11"/>
    </row>
    <row r="149">
      <c r="I149" s="37"/>
      <c r="J149" s="11"/>
    </row>
    <row r="150">
      <c r="I150" s="37"/>
      <c r="J150" s="11"/>
    </row>
    <row r="151">
      <c r="I151" s="37"/>
      <c r="J151" s="11"/>
    </row>
    <row r="152">
      <c r="I152" s="37"/>
      <c r="J152" s="11"/>
    </row>
    <row r="153">
      <c r="I153" s="37"/>
      <c r="J153" s="11"/>
    </row>
    <row r="154">
      <c r="I154" s="37"/>
      <c r="J154" s="11"/>
    </row>
    <row r="155">
      <c r="I155" s="37"/>
      <c r="J155" s="11"/>
    </row>
    <row r="156">
      <c r="I156" s="37"/>
      <c r="J156" s="11"/>
    </row>
    <row r="157">
      <c r="I157" s="37"/>
      <c r="J157" s="11"/>
    </row>
    <row r="158">
      <c r="I158" s="37"/>
      <c r="J158" s="11"/>
    </row>
    <row r="159">
      <c r="I159" s="37"/>
      <c r="J159" s="11"/>
    </row>
    <row r="160">
      <c r="I160" s="37"/>
      <c r="J160" s="11"/>
    </row>
    <row r="161">
      <c r="I161" s="37"/>
      <c r="J161" s="11"/>
    </row>
    <row r="162">
      <c r="I162" s="37"/>
      <c r="J162" s="11"/>
    </row>
    <row r="163">
      <c r="I163" s="37"/>
      <c r="J163" s="11"/>
    </row>
    <row r="164">
      <c r="I164" s="37"/>
      <c r="J164" s="11"/>
    </row>
    <row r="165">
      <c r="I165" s="37"/>
      <c r="J165" s="11"/>
    </row>
    <row r="166">
      <c r="I166" s="37"/>
      <c r="J166" s="11"/>
    </row>
    <row r="167">
      <c r="I167" s="37"/>
      <c r="J167" s="11"/>
    </row>
    <row r="168">
      <c r="I168" s="37"/>
      <c r="J168" s="11"/>
    </row>
    <row r="169">
      <c r="I169" s="37"/>
      <c r="J169" s="11"/>
    </row>
    <row r="170">
      <c r="I170" s="37"/>
      <c r="J170" s="11"/>
    </row>
    <row r="171">
      <c r="I171" s="37"/>
      <c r="J171" s="11"/>
    </row>
    <row r="172">
      <c r="I172" s="37"/>
      <c r="J172" s="11"/>
    </row>
    <row r="173">
      <c r="I173" s="37"/>
      <c r="J173" s="11"/>
    </row>
    <row r="174">
      <c r="I174" s="37"/>
      <c r="J174" s="11"/>
    </row>
    <row r="175">
      <c r="I175" s="37"/>
      <c r="J175" s="11"/>
    </row>
    <row r="176">
      <c r="I176" s="37"/>
      <c r="J176" s="11"/>
    </row>
    <row r="177">
      <c r="I177" s="37"/>
      <c r="J177" s="11"/>
    </row>
    <row r="178">
      <c r="I178" s="37"/>
      <c r="J178" s="11"/>
    </row>
    <row r="179">
      <c r="I179" s="37"/>
      <c r="J179" s="11"/>
    </row>
    <row r="180">
      <c r="I180" s="37"/>
      <c r="J180" s="11"/>
    </row>
    <row r="181">
      <c r="I181" s="37"/>
      <c r="J181" s="11"/>
    </row>
    <row r="182">
      <c r="I182" s="37"/>
      <c r="J182" s="11"/>
    </row>
    <row r="183">
      <c r="I183" s="37"/>
      <c r="J183" s="11"/>
    </row>
    <row r="184">
      <c r="I184" s="37"/>
      <c r="J184" s="11"/>
    </row>
    <row r="185">
      <c r="I185" s="37"/>
      <c r="J185" s="11"/>
    </row>
    <row r="186">
      <c r="I186" s="37"/>
      <c r="J186" s="11"/>
    </row>
    <row r="187">
      <c r="I187" s="37"/>
      <c r="J187" s="11"/>
    </row>
    <row r="188">
      <c r="I188" s="37"/>
      <c r="J188" s="11"/>
    </row>
    <row r="189">
      <c r="I189" s="37"/>
      <c r="J189" s="11"/>
    </row>
    <row r="190">
      <c r="I190" s="37"/>
      <c r="J190" s="11"/>
    </row>
    <row r="191">
      <c r="I191" s="37"/>
      <c r="J191" s="11"/>
    </row>
    <row r="192">
      <c r="I192" s="37"/>
      <c r="J192" s="11"/>
    </row>
    <row r="193">
      <c r="I193" s="37"/>
      <c r="J193" s="11"/>
    </row>
    <row r="194">
      <c r="I194" s="37"/>
      <c r="J194" s="11"/>
    </row>
    <row r="195">
      <c r="I195" s="37"/>
      <c r="J195" s="11"/>
    </row>
    <row r="196">
      <c r="I196" s="37"/>
      <c r="J196" s="11"/>
    </row>
    <row r="197">
      <c r="I197" s="37"/>
      <c r="J197" s="11"/>
    </row>
    <row r="198">
      <c r="I198" s="37"/>
      <c r="J198" s="11"/>
    </row>
    <row r="199">
      <c r="I199" s="37"/>
      <c r="J199" s="11"/>
    </row>
    <row r="200">
      <c r="I200" s="37"/>
      <c r="J200" s="11"/>
    </row>
    <row r="201">
      <c r="I201" s="37"/>
      <c r="J201" s="11"/>
    </row>
    <row r="202">
      <c r="I202" s="37"/>
      <c r="J202" s="11"/>
    </row>
    <row r="203">
      <c r="I203" s="37"/>
      <c r="J203" s="11"/>
    </row>
    <row r="204">
      <c r="I204" s="37"/>
      <c r="J204" s="11"/>
    </row>
    <row r="205">
      <c r="I205" s="37"/>
      <c r="J205" s="11"/>
    </row>
    <row r="206">
      <c r="I206" s="37"/>
      <c r="J206" s="11"/>
    </row>
    <row r="207">
      <c r="I207" s="37"/>
      <c r="J207" s="11"/>
    </row>
    <row r="208">
      <c r="I208" s="37"/>
      <c r="J208" s="11"/>
    </row>
    <row r="209">
      <c r="I209" s="37"/>
      <c r="J209" s="11"/>
    </row>
    <row r="210">
      <c r="I210" s="37"/>
      <c r="J210" s="11"/>
    </row>
    <row r="211">
      <c r="I211" s="37"/>
      <c r="J211" s="11"/>
    </row>
    <row r="212">
      <c r="I212" s="37"/>
      <c r="J212" s="11"/>
    </row>
    <row r="213">
      <c r="I213" s="37"/>
      <c r="J213" s="11"/>
    </row>
    <row r="214">
      <c r="I214" s="37"/>
      <c r="J214" s="11"/>
    </row>
    <row r="215">
      <c r="I215" s="37"/>
      <c r="J215" s="11"/>
    </row>
    <row r="216">
      <c r="I216" s="37"/>
      <c r="J216" s="11"/>
    </row>
    <row r="217">
      <c r="I217" s="37"/>
      <c r="J217" s="11"/>
    </row>
    <row r="218">
      <c r="I218" s="37"/>
      <c r="J218" s="11"/>
    </row>
    <row r="219">
      <c r="I219" s="37"/>
      <c r="J219" s="11"/>
    </row>
    <row r="220">
      <c r="I220" s="37"/>
      <c r="J220" s="11"/>
    </row>
    <row r="221">
      <c r="I221" s="37"/>
      <c r="J221" s="11"/>
    </row>
    <row r="222">
      <c r="I222" s="37"/>
      <c r="J222" s="11"/>
    </row>
    <row r="223">
      <c r="I223" s="37"/>
      <c r="J223" s="11"/>
    </row>
    <row r="224">
      <c r="I224" s="37"/>
      <c r="J224" s="11"/>
    </row>
    <row r="225">
      <c r="I225" s="37"/>
      <c r="J225" s="11"/>
    </row>
    <row r="226">
      <c r="I226" s="37"/>
      <c r="J226" s="11"/>
    </row>
    <row r="227">
      <c r="I227" s="37"/>
      <c r="J227" s="11"/>
    </row>
    <row r="228">
      <c r="I228" s="37"/>
      <c r="J228" s="11"/>
    </row>
    <row r="229">
      <c r="I229" s="37"/>
      <c r="J229" s="11"/>
    </row>
    <row r="230">
      <c r="I230" s="37"/>
      <c r="J230" s="11"/>
    </row>
    <row r="231">
      <c r="I231" s="37"/>
      <c r="J231" s="11"/>
    </row>
    <row r="232">
      <c r="I232" s="37"/>
      <c r="J232" s="11"/>
    </row>
    <row r="233">
      <c r="I233" s="37"/>
      <c r="J233" s="11"/>
    </row>
    <row r="234">
      <c r="I234" s="37"/>
      <c r="J234" s="11"/>
    </row>
    <row r="235">
      <c r="I235" s="37"/>
      <c r="J235" s="11"/>
    </row>
    <row r="236">
      <c r="I236" s="37"/>
      <c r="J236" s="11"/>
    </row>
    <row r="237">
      <c r="I237" s="37"/>
      <c r="J237" s="11"/>
    </row>
    <row r="238">
      <c r="I238" s="37"/>
      <c r="J238" s="11"/>
    </row>
    <row r="239">
      <c r="I239" s="37"/>
      <c r="J239" s="11"/>
    </row>
    <row r="240">
      <c r="I240" s="37"/>
      <c r="J240" s="11"/>
    </row>
    <row r="241">
      <c r="I241" s="37"/>
      <c r="J241" s="11"/>
    </row>
    <row r="242">
      <c r="I242" s="37"/>
      <c r="J242" s="11"/>
    </row>
    <row r="243">
      <c r="I243" s="37"/>
      <c r="J243" s="11"/>
    </row>
    <row r="244">
      <c r="I244" s="37"/>
      <c r="J244" s="11"/>
    </row>
    <row r="245">
      <c r="I245" s="37"/>
      <c r="J245" s="11"/>
    </row>
    <row r="246">
      <c r="I246" s="37"/>
      <c r="J246" s="11"/>
    </row>
    <row r="247">
      <c r="I247" s="37"/>
      <c r="J247" s="11"/>
    </row>
    <row r="248">
      <c r="I248" s="37"/>
      <c r="J248" s="11"/>
    </row>
    <row r="249">
      <c r="I249" s="37"/>
      <c r="J249" s="11"/>
    </row>
    <row r="250">
      <c r="I250" s="37"/>
      <c r="J250" s="11"/>
    </row>
    <row r="251">
      <c r="I251" s="37"/>
      <c r="J251" s="11"/>
    </row>
    <row r="252">
      <c r="I252" s="37"/>
      <c r="J252" s="11"/>
    </row>
    <row r="253">
      <c r="I253" s="37"/>
      <c r="J253" s="11"/>
    </row>
    <row r="254">
      <c r="I254" s="37"/>
      <c r="J254" s="11"/>
    </row>
    <row r="255">
      <c r="I255" s="37"/>
      <c r="J255" s="11"/>
    </row>
    <row r="256">
      <c r="I256" s="37"/>
      <c r="J256" s="11"/>
    </row>
    <row r="257">
      <c r="I257" s="37"/>
      <c r="J257" s="11"/>
    </row>
    <row r="258">
      <c r="I258" s="37"/>
      <c r="J258" s="11"/>
    </row>
    <row r="259">
      <c r="I259" s="37"/>
      <c r="J259" s="11"/>
    </row>
    <row r="260">
      <c r="I260" s="37"/>
      <c r="J260" s="11"/>
    </row>
    <row r="261">
      <c r="I261" s="37"/>
      <c r="J261" s="11"/>
    </row>
    <row r="262">
      <c r="I262" s="37"/>
      <c r="J262" s="11"/>
    </row>
    <row r="263">
      <c r="I263" s="37"/>
      <c r="J263" s="11"/>
    </row>
    <row r="264">
      <c r="I264" s="37"/>
      <c r="J264" s="11"/>
    </row>
    <row r="265">
      <c r="I265" s="37"/>
      <c r="J265" s="11"/>
    </row>
    <row r="266">
      <c r="I266" s="37"/>
      <c r="J266" s="11"/>
    </row>
    <row r="267">
      <c r="I267" s="37"/>
      <c r="J267" s="11"/>
    </row>
    <row r="268">
      <c r="I268" s="37"/>
      <c r="J268" s="11"/>
    </row>
    <row r="269">
      <c r="I269" s="37"/>
      <c r="J269" s="11"/>
    </row>
    <row r="270">
      <c r="I270" s="37"/>
      <c r="J270" s="11"/>
    </row>
    <row r="271">
      <c r="I271" s="37"/>
      <c r="J271" s="11"/>
    </row>
    <row r="272">
      <c r="I272" s="37"/>
      <c r="J272" s="11"/>
    </row>
    <row r="273">
      <c r="I273" s="37"/>
      <c r="J273" s="11"/>
    </row>
    <row r="274">
      <c r="I274" s="37"/>
      <c r="J274" s="11"/>
    </row>
    <row r="275">
      <c r="I275" s="37"/>
      <c r="J275" s="11"/>
    </row>
    <row r="276">
      <c r="I276" s="37"/>
      <c r="J276" s="11"/>
    </row>
    <row r="277">
      <c r="I277" s="37"/>
      <c r="J277" s="11"/>
    </row>
    <row r="278">
      <c r="I278" s="37"/>
      <c r="J278" s="11"/>
    </row>
    <row r="279">
      <c r="I279" s="37"/>
      <c r="J279" s="11"/>
    </row>
    <row r="280">
      <c r="I280" s="37"/>
      <c r="J280" s="11"/>
    </row>
    <row r="281">
      <c r="I281" s="37"/>
      <c r="J281" s="11"/>
    </row>
    <row r="282">
      <c r="I282" s="37"/>
      <c r="J282" s="11"/>
    </row>
    <row r="283">
      <c r="I283" s="37"/>
      <c r="J283" s="11"/>
    </row>
    <row r="284">
      <c r="I284" s="37"/>
      <c r="J284" s="11"/>
    </row>
    <row r="285">
      <c r="I285" s="37"/>
      <c r="J285" s="11"/>
    </row>
    <row r="286">
      <c r="I286" s="37"/>
      <c r="J286" s="11"/>
    </row>
    <row r="287">
      <c r="I287" s="37"/>
      <c r="J287" s="11"/>
    </row>
    <row r="288">
      <c r="I288" s="37"/>
      <c r="J288" s="11"/>
    </row>
    <row r="289">
      <c r="I289" s="37"/>
      <c r="J289" s="11"/>
    </row>
    <row r="290">
      <c r="I290" s="37"/>
      <c r="J290" s="11"/>
    </row>
    <row r="291">
      <c r="I291" s="37"/>
      <c r="J291" s="11"/>
    </row>
    <row r="292">
      <c r="I292" s="37"/>
      <c r="J292" s="11"/>
    </row>
    <row r="293">
      <c r="I293" s="37"/>
      <c r="J293" s="11"/>
    </row>
    <row r="294">
      <c r="I294" s="37"/>
      <c r="J294" s="11"/>
    </row>
    <row r="295">
      <c r="I295" s="37"/>
      <c r="J295" s="11"/>
    </row>
    <row r="296">
      <c r="I296" s="37"/>
      <c r="J296" s="11"/>
    </row>
    <row r="297">
      <c r="I297" s="37"/>
      <c r="J297" s="11"/>
    </row>
    <row r="298">
      <c r="I298" s="37"/>
      <c r="J298" s="11"/>
    </row>
    <row r="299">
      <c r="I299" s="37"/>
      <c r="J299" s="11"/>
    </row>
    <row r="300">
      <c r="I300" s="37"/>
      <c r="J300" s="11"/>
    </row>
    <row r="301">
      <c r="I301" s="37"/>
      <c r="J301" s="11"/>
    </row>
    <row r="302">
      <c r="I302" s="37"/>
      <c r="J302" s="11"/>
    </row>
    <row r="303">
      <c r="I303" s="37"/>
      <c r="J303" s="11"/>
    </row>
    <row r="304">
      <c r="I304" s="37"/>
      <c r="J304" s="11"/>
    </row>
    <row r="305">
      <c r="I305" s="37"/>
      <c r="J305" s="11"/>
    </row>
    <row r="306">
      <c r="I306" s="37"/>
      <c r="J306" s="11"/>
    </row>
    <row r="307">
      <c r="I307" s="37"/>
      <c r="J307" s="11"/>
    </row>
    <row r="308">
      <c r="I308" s="37"/>
      <c r="J308" s="11"/>
    </row>
    <row r="309">
      <c r="I309" s="37"/>
      <c r="J309" s="11"/>
    </row>
    <row r="310">
      <c r="I310" s="37"/>
      <c r="J310" s="11"/>
    </row>
    <row r="311">
      <c r="I311" s="37"/>
      <c r="J311" s="11"/>
    </row>
    <row r="312">
      <c r="I312" s="37"/>
      <c r="J312" s="11"/>
    </row>
    <row r="313">
      <c r="I313" s="37"/>
      <c r="J313" s="11"/>
    </row>
    <row r="314">
      <c r="I314" s="37"/>
      <c r="J314" s="11"/>
    </row>
    <row r="315">
      <c r="I315" s="37"/>
      <c r="J315" s="11"/>
    </row>
    <row r="316">
      <c r="I316" s="37"/>
      <c r="J316" s="11"/>
    </row>
    <row r="317">
      <c r="I317" s="37"/>
      <c r="J317" s="11"/>
    </row>
    <row r="318">
      <c r="I318" s="37"/>
      <c r="J318" s="11"/>
    </row>
    <row r="319">
      <c r="I319" s="37"/>
      <c r="J319" s="11"/>
    </row>
    <row r="320">
      <c r="I320" s="37"/>
      <c r="J320" s="11"/>
    </row>
    <row r="321">
      <c r="I321" s="37"/>
      <c r="J321" s="11"/>
    </row>
    <row r="322">
      <c r="I322" s="37"/>
      <c r="J322" s="11"/>
    </row>
    <row r="323">
      <c r="I323" s="37"/>
      <c r="J323" s="11"/>
    </row>
    <row r="324">
      <c r="I324" s="37"/>
      <c r="J324" s="11"/>
    </row>
    <row r="325">
      <c r="I325" s="37"/>
      <c r="J325" s="11"/>
    </row>
    <row r="326">
      <c r="I326" s="37"/>
      <c r="J326" s="11"/>
    </row>
    <row r="327">
      <c r="I327" s="37"/>
      <c r="J327" s="11"/>
    </row>
    <row r="328">
      <c r="I328" s="37"/>
      <c r="J328" s="11"/>
    </row>
    <row r="329">
      <c r="I329" s="37"/>
      <c r="J329" s="11"/>
    </row>
    <row r="330">
      <c r="I330" s="37"/>
      <c r="J330" s="11"/>
    </row>
    <row r="331">
      <c r="I331" s="37"/>
      <c r="J331" s="11"/>
    </row>
    <row r="332">
      <c r="I332" s="37"/>
      <c r="J332" s="11"/>
    </row>
    <row r="333">
      <c r="I333" s="37"/>
      <c r="J333" s="11"/>
    </row>
    <row r="334">
      <c r="I334" s="37"/>
      <c r="J334" s="11"/>
    </row>
    <row r="335">
      <c r="I335" s="37"/>
      <c r="J335" s="11"/>
    </row>
    <row r="336">
      <c r="I336" s="37"/>
      <c r="J336" s="11"/>
    </row>
    <row r="337">
      <c r="I337" s="37"/>
      <c r="J337" s="11"/>
    </row>
    <row r="338">
      <c r="I338" s="37"/>
      <c r="J338" s="11"/>
    </row>
    <row r="339">
      <c r="I339" s="37"/>
      <c r="J339" s="11"/>
    </row>
    <row r="340">
      <c r="I340" s="37"/>
      <c r="J340" s="11"/>
    </row>
    <row r="341">
      <c r="I341" s="37"/>
      <c r="J341" s="11"/>
    </row>
    <row r="342">
      <c r="I342" s="37"/>
      <c r="J342" s="11"/>
    </row>
    <row r="343">
      <c r="I343" s="37"/>
      <c r="J343" s="11"/>
    </row>
    <row r="344">
      <c r="I344" s="37"/>
      <c r="J344" s="11"/>
    </row>
    <row r="345">
      <c r="I345" s="37"/>
      <c r="J345" s="11"/>
    </row>
    <row r="346">
      <c r="I346" s="37"/>
      <c r="J346" s="11"/>
    </row>
    <row r="347">
      <c r="I347" s="37"/>
      <c r="J347" s="11"/>
    </row>
    <row r="348">
      <c r="I348" s="37"/>
      <c r="J348" s="11"/>
    </row>
    <row r="349">
      <c r="I349" s="37"/>
      <c r="J349" s="11"/>
    </row>
    <row r="350">
      <c r="I350" s="37"/>
      <c r="J350" s="11"/>
    </row>
    <row r="351">
      <c r="I351" s="37"/>
      <c r="J351" s="11"/>
    </row>
    <row r="352">
      <c r="I352" s="37"/>
      <c r="J352" s="11"/>
    </row>
    <row r="353">
      <c r="I353" s="37"/>
      <c r="J353" s="11"/>
    </row>
    <row r="354">
      <c r="I354" s="37"/>
      <c r="J354" s="11"/>
    </row>
    <row r="355">
      <c r="I355" s="37"/>
      <c r="J355" s="11"/>
    </row>
    <row r="356">
      <c r="I356" s="37"/>
      <c r="J356" s="11"/>
    </row>
    <row r="357">
      <c r="I357" s="37"/>
      <c r="J357" s="11"/>
    </row>
    <row r="358">
      <c r="I358" s="37"/>
      <c r="J358" s="11"/>
    </row>
    <row r="359">
      <c r="I359" s="37"/>
      <c r="J359" s="11"/>
    </row>
    <row r="360">
      <c r="I360" s="37"/>
      <c r="J360" s="11"/>
    </row>
    <row r="361">
      <c r="I361" s="37"/>
      <c r="J361" s="11"/>
    </row>
    <row r="362">
      <c r="I362" s="37"/>
      <c r="J362" s="11"/>
    </row>
    <row r="363">
      <c r="I363" s="37"/>
      <c r="J363" s="11"/>
    </row>
    <row r="364">
      <c r="I364" s="37"/>
      <c r="J364" s="11"/>
    </row>
    <row r="365">
      <c r="I365" s="37"/>
      <c r="J365" s="11"/>
    </row>
    <row r="366">
      <c r="I366" s="37"/>
      <c r="J366" s="11"/>
    </row>
    <row r="367">
      <c r="I367" s="37"/>
      <c r="J367" s="11"/>
    </row>
    <row r="368">
      <c r="I368" s="37"/>
      <c r="J368" s="11"/>
    </row>
    <row r="369">
      <c r="I369" s="37"/>
      <c r="J369" s="11"/>
    </row>
    <row r="370">
      <c r="I370" s="37"/>
      <c r="J370" s="11"/>
    </row>
    <row r="371">
      <c r="I371" s="37"/>
      <c r="J371" s="11"/>
    </row>
    <row r="372">
      <c r="I372" s="37"/>
      <c r="J372" s="11"/>
    </row>
    <row r="373">
      <c r="I373" s="37"/>
      <c r="J373" s="11"/>
    </row>
    <row r="374">
      <c r="I374" s="37"/>
      <c r="J374" s="11"/>
    </row>
    <row r="375">
      <c r="I375" s="37"/>
      <c r="J375" s="11"/>
    </row>
    <row r="376">
      <c r="I376" s="37"/>
      <c r="J376" s="11"/>
    </row>
    <row r="377">
      <c r="I377" s="37"/>
      <c r="J377" s="11"/>
    </row>
    <row r="378">
      <c r="I378" s="37"/>
      <c r="J378" s="11"/>
    </row>
    <row r="379">
      <c r="I379" s="37"/>
      <c r="J379" s="11"/>
    </row>
    <row r="380">
      <c r="I380" s="37"/>
      <c r="J380" s="11"/>
    </row>
    <row r="381">
      <c r="I381" s="37"/>
      <c r="J381" s="11"/>
    </row>
    <row r="382">
      <c r="I382" s="37"/>
      <c r="J382" s="11"/>
    </row>
    <row r="383">
      <c r="I383" s="37"/>
      <c r="J383" s="11"/>
    </row>
    <row r="384">
      <c r="I384" s="37"/>
      <c r="J384" s="11"/>
    </row>
    <row r="385">
      <c r="I385" s="37"/>
      <c r="J385" s="11"/>
    </row>
    <row r="386">
      <c r="I386" s="37"/>
      <c r="J386" s="11"/>
    </row>
    <row r="387">
      <c r="I387" s="37"/>
      <c r="J387" s="11"/>
    </row>
    <row r="388">
      <c r="I388" s="37"/>
      <c r="J388" s="11"/>
    </row>
    <row r="389">
      <c r="I389" s="37"/>
      <c r="J389" s="11"/>
    </row>
    <row r="390">
      <c r="I390" s="37"/>
      <c r="J390" s="11"/>
    </row>
    <row r="391">
      <c r="I391" s="37"/>
      <c r="J391" s="11"/>
    </row>
    <row r="392">
      <c r="I392" s="37"/>
      <c r="J392" s="11"/>
    </row>
    <row r="393">
      <c r="I393" s="37"/>
      <c r="J393" s="11"/>
    </row>
    <row r="394">
      <c r="I394" s="37"/>
      <c r="J394" s="11"/>
    </row>
    <row r="395">
      <c r="I395" s="37"/>
      <c r="J395" s="11"/>
    </row>
    <row r="396">
      <c r="I396" s="37"/>
      <c r="J396" s="11"/>
    </row>
    <row r="397">
      <c r="I397" s="37"/>
      <c r="J397" s="11"/>
    </row>
    <row r="398">
      <c r="I398" s="37"/>
      <c r="J398" s="11"/>
    </row>
    <row r="399">
      <c r="I399" s="37"/>
      <c r="J399" s="11"/>
    </row>
    <row r="400">
      <c r="I400" s="37"/>
      <c r="J400" s="11"/>
    </row>
    <row r="401">
      <c r="I401" s="37"/>
      <c r="J401" s="11"/>
    </row>
    <row r="402">
      <c r="I402" s="37"/>
      <c r="J402" s="11"/>
    </row>
    <row r="403">
      <c r="I403" s="37"/>
      <c r="J403" s="11"/>
    </row>
    <row r="404">
      <c r="I404" s="37"/>
      <c r="J404" s="11"/>
    </row>
    <row r="405">
      <c r="I405" s="37"/>
      <c r="J405" s="11"/>
    </row>
    <row r="406">
      <c r="I406" s="37"/>
      <c r="J406" s="11"/>
    </row>
    <row r="407">
      <c r="I407" s="37"/>
      <c r="J407" s="11"/>
    </row>
    <row r="408">
      <c r="I408" s="37"/>
      <c r="J408" s="11"/>
    </row>
    <row r="409">
      <c r="I409" s="37"/>
      <c r="J409" s="11"/>
    </row>
    <row r="410">
      <c r="I410" s="37"/>
      <c r="J410" s="11"/>
    </row>
    <row r="411">
      <c r="I411" s="37"/>
      <c r="J411" s="11"/>
    </row>
    <row r="412">
      <c r="I412" s="37"/>
      <c r="J412" s="11"/>
    </row>
    <row r="413">
      <c r="I413" s="37"/>
      <c r="J413" s="11"/>
    </row>
    <row r="414">
      <c r="I414" s="37"/>
      <c r="J414" s="11"/>
    </row>
    <row r="415">
      <c r="I415" s="37"/>
      <c r="J415" s="11"/>
    </row>
    <row r="416">
      <c r="I416" s="37"/>
      <c r="J416" s="11"/>
    </row>
    <row r="417">
      <c r="I417" s="37"/>
      <c r="J417" s="11"/>
    </row>
    <row r="418">
      <c r="I418" s="37"/>
      <c r="J418" s="11"/>
    </row>
    <row r="419">
      <c r="I419" s="37"/>
      <c r="J419" s="11"/>
    </row>
    <row r="420">
      <c r="I420" s="37"/>
      <c r="J420" s="11"/>
    </row>
    <row r="421">
      <c r="I421" s="37"/>
      <c r="J421" s="11"/>
    </row>
    <row r="422">
      <c r="I422" s="37"/>
      <c r="J422" s="11"/>
    </row>
    <row r="423">
      <c r="I423" s="37"/>
      <c r="J423" s="11"/>
    </row>
    <row r="424">
      <c r="I424" s="37"/>
      <c r="J424" s="11"/>
    </row>
    <row r="425">
      <c r="I425" s="37"/>
      <c r="J425" s="11"/>
    </row>
    <row r="426">
      <c r="I426" s="37"/>
      <c r="J426" s="11"/>
    </row>
    <row r="427">
      <c r="I427" s="37"/>
      <c r="J427" s="11"/>
    </row>
    <row r="428">
      <c r="I428" s="37"/>
      <c r="J428" s="11"/>
    </row>
    <row r="429">
      <c r="I429" s="37"/>
      <c r="J429" s="11"/>
    </row>
    <row r="430">
      <c r="I430" s="37"/>
      <c r="J430" s="11"/>
    </row>
    <row r="431">
      <c r="I431" s="37"/>
      <c r="J431" s="11"/>
    </row>
    <row r="432">
      <c r="I432" s="37"/>
      <c r="J432" s="11"/>
    </row>
    <row r="433">
      <c r="I433" s="37"/>
      <c r="J433" s="11"/>
    </row>
    <row r="434">
      <c r="I434" s="37"/>
      <c r="J434" s="11"/>
    </row>
    <row r="435">
      <c r="I435" s="37"/>
      <c r="J435" s="11"/>
    </row>
    <row r="436">
      <c r="I436" s="37"/>
      <c r="J436" s="11"/>
    </row>
    <row r="437">
      <c r="I437" s="37"/>
      <c r="J437" s="11"/>
    </row>
    <row r="438">
      <c r="I438" s="37"/>
      <c r="J438" s="11"/>
    </row>
    <row r="439">
      <c r="I439" s="37"/>
      <c r="J439" s="11"/>
    </row>
    <row r="440">
      <c r="I440" s="37"/>
      <c r="J440" s="11"/>
    </row>
    <row r="441">
      <c r="I441" s="37"/>
      <c r="J441" s="11"/>
    </row>
    <row r="442">
      <c r="I442" s="37"/>
      <c r="J442" s="11"/>
    </row>
    <row r="443">
      <c r="I443" s="37"/>
      <c r="J443" s="11"/>
    </row>
    <row r="444">
      <c r="I444" s="37"/>
      <c r="J444" s="11"/>
    </row>
    <row r="445">
      <c r="I445" s="37"/>
      <c r="J445" s="11"/>
    </row>
    <row r="446">
      <c r="I446" s="37"/>
      <c r="J446" s="11"/>
    </row>
    <row r="447">
      <c r="I447" s="37"/>
      <c r="J447" s="11"/>
    </row>
    <row r="448">
      <c r="I448" s="37"/>
      <c r="J448" s="11"/>
    </row>
    <row r="449">
      <c r="I449" s="37"/>
      <c r="J449" s="11"/>
    </row>
    <row r="450">
      <c r="I450" s="37"/>
      <c r="J450" s="11"/>
    </row>
    <row r="451">
      <c r="I451" s="37"/>
      <c r="J451" s="11"/>
    </row>
    <row r="452">
      <c r="I452" s="37"/>
      <c r="J452" s="11"/>
    </row>
    <row r="453">
      <c r="I453" s="37"/>
      <c r="J453" s="11"/>
    </row>
    <row r="454">
      <c r="I454" s="37"/>
      <c r="J454" s="11"/>
    </row>
    <row r="455">
      <c r="I455" s="37"/>
      <c r="J455" s="11"/>
    </row>
    <row r="456">
      <c r="I456" s="37"/>
      <c r="J456" s="11"/>
    </row>
    <row r="457">
      <c r="I457" s="37"/>
      <c r="J457" s="11"/>
    </row>
    <row r="458">
      <c r="I458" s="37"/>
      <c r="J458" s="11"/>
    </row>
    <row r="459">
      <c r="I459" s="37"/>
      <c r="J459" s="11"/>
    </row>
    <row r="460">
      <c r="I460" s="37"/>
      <c r="J460" s="11"/>
    </row>
    <row r="461">
      <c r="I461" s="37"/>
      <c r="J461" s="11"/>
    </row>
    <row r="462">
      <c r="I462" s="37"/>
      <c r="J462" s="11"/>
    </row>
    <row r="463">
      <c r="I463" s="37"/>
      <c r="J463" s="11"/>
    </row>
    <row r="464">
      <c r="I464" s="37"/>
      <c r="J464" s="11"/>
    </row>
    <row r="465">
      <c r="I465" s="37"/>
      <c r="J465" s="11"/>
    </row>
    <row r="466">
      <c r="I466" s="37"/>
      <c r="J466" s="11"/>
    </row>
    <row r="467">
      <c r="I467" s="37"/>
      <c r="J467" s="11"/>
    </row>
    <row r="468">
      <c r="I468" s="37"/>
      <c r="J468" s="11"/>
    </row>
    <row r="469">
      <c r="I469" s="37"/>
      <c r="J469" s="11"/>
    </row>
    <row r="470">
      <c r="I470" s="37"/>
      <c r="J470" s="11"/>
    </row>
    <row r="471">
      <c r="I471" s="37"/>
      <c r="J471" s="11"/>
    </row>
    <row r="472">
      <c r="I472" s="37"/>
      <c r="J472" s="11"/>
    </row>
    <row r="473">
      <c r="I473" s="37"/>
      <c r="J473" s="11"/>
    </row>
    <row r="474">
      <c r="I474" s="37"/>
      <c r="J474" s="11"/>
    </row>
    <row r="475">
      <c r="I475" s="37"/>
      <c r="J475" s="11"/>
    </row>
    <row r="476">
      <c r="I476" s="37"/>
      <c r="J476" s="11"/>
    </row>
    <row r="477">
      <c r="I477" s="37"/>
      <c r="J477" s="11"/>
    </row>
    <row r="478">
      <c r="I478" s="37"/>
      <c r="J478" s="11"/>
    </row>
    <row r="479">
      <c r="I479" s="37"/>
      <c r="J479" s="11"/>
    </row>
    <row r="480">
      <c r="I480" s="37"/>
      <c r="J480" s="11"/>
    </row>
    <row r="481">
      <c r="I481" s="37"/>
      <c r="J481" s="11"/>
    </row>
    <row r="482">
      <c r="I482" s="37"/>
      <c r="J482" s="11"/>
    </row>
    <row r="483">
      <c r="I483" s="37"/>
      <c r="J483" s="11"/>
    </row>
    <row r="484">
      <c r="I484" s="37"/>
      <c r="J484" s="11"/>
    </row>
    <row r="485">
      <c r="I485" s="37"/>
      <c r="J485" s="11"/>
    </row>
    <row r="486">
      <c r="I486" s="37"/>
      <c r="J486" s="11"/>
    </row>
    <row r="487">
      <c r="I487" s="37"/>
      <c r="J487" s="11"/>
    </row>
    <row r="488">
      <c r="I488" s="37"/>
      <c r="J488" s="11"/>
    </row>
    <row r="489">
      <c r="I489" s="37"/>
      <c r="J489" s="11"/>
    </row>
    <row r="490">
      <c r="I490" s="37"/>
      <c r="J490" s="11"/>
    </row>
    <row r="491">
      <c r="I491" s="37"/>
      <c r="J491" s="11"/>
    </row>
    <row r="492">
      <c r="I492" s="37"/>
      <c r="J492" s="11"/>
    </row>
    <row r="493">
      <c r="I493" s="37"/>
      <c r="J493" s="11"/>
    </row>
    <row r="494">
      <c r="I494" s="37"/>
      <c r="J494" s="11"/>
    </row>
    <row r="495">
      <c r="I495" s="37"/>
      <c r="J495" s="11"/>
    </row>
    <row r="496">
      <c r="I496" s="37"/>
      <c r="J496" s="11"/>
    </row>
    <row r="497">
      <c r="I497" s="37"/>
      <c r="J497" s="11"/>
    </row>
    <row r="498">
      <c r="I498" s="37"/>
      <c r="J498" s="11"/>
    </row>
    <row r="499">
      <c r="I499" s="37"/>
      <c r="J499" s="11"/>
    </row>
    <row r="500">
      <c r="I500" s="37"/>
      <c r="J500" s="11"/>
    </row>
    <row r="501">
      <c r="I501" s="37"/>
      <c r="J501" s="11"/>
    </row>
    <row r="502">
      <c r="I502" s="37"/>
      <c r="J502" s="11"/>
    </row>
    <row r="503">
      <c r="I503" s="37"/>
      <c r="J503" s="11"/>
    </row>
    <row r="504">
      <c r="I504" s="37"/>
      <c r="J504" s="11"/>
    </row>
    <row r="505">
      <c r="I505" s="37"/>
      <c r="J505" s="11"/>
    </row>
    <row r="506">
      <c r="I506" s="37"/>
      <c r="J506" s="11"/>
    </row>
    <row r="507">
      <c r="I507" s="37"/>
      <c r="J507" s="11"/>
    </row>
    <row r="508">
      <c r="I508" s="37"/>
      <c r="J508" s="11"/>
    </row>
    <row r="509">
      <c r="I509" s="37"/>
      <c r="J509" s="11"/>
    </row>
    <row r="510">
      <c r="I510" s="37"/>
      <c r="J510" s="11"/>
    </row>
    <row r="511">
      <c r="I511" s="37"/>
      <c r="J511" s="11"/>
    </row>
    <row r="512">
      <c r="I512" s="37"/>
      <c r="J512" s="11"/>
    </row>
    <row r="513">
      <c r="I513" s="37"/>
      <c r="J513" s="11"/>
    </row>
    <row r="514">
      <c r="I514" s="37"/>
      <c r="J514" s="11"/>
    </row>
    <row r="515">
      <c r="I515" s="37"/>
      <c r="J515" s="11"/>
    </row>
    <row r="516">
      <c r="I516" s="37"/>
      <c r="J516" s="11"/>
    </row>
    <row r="517">
      <c r="I517" s="37"/>
      <c r="J517" s="11"/>
    </row>
    <row r="518">
      <c r="I518" s="37"/>
      <c r="J518" s="11"/>
    </row>
    <row r="519">
      <c r="I519" s="37"/>
      <c r="J519" s="11"/>
    </row>
    <row r="520">
      <c r="I520" s="37"/>
      <c r="J520" s="11"/>
    </row>
    <row r="521">
      <c r="I521" s="37"/>
      <c r="J521" s="11"/>
    </row>
    <row r="522">
      <c r="I522" s="37"/>
      <c r="J522" s="11"/>
    </row>
    <row r="523">
      <c r="I523" s="37"/>
      <c r="J523" s="11"/>
    </row>
    <row r="524">
      <c r="I524" s="37"/>
      <c r="J524" s="11"/>
    </row>
    <row r="525">
      <c r="I525" s="37"/>
      <c r="J525" s="11"/>
    </row>
    <row r="526">
      <c r="I526" s="37"/>
      <c r="J526" s="11"/>
    </row>
    <row r="527">
      <c r="I527" s="37"/>
      <c r="J527" s="11"/>
    </row>
    <row r="528">
      <c r="I528" s="37"/>
      <c r="J528" s="11"/>
    </row>
    <row r="529">
      <c r="I529" s="37"/>
      <c r="J529" s="11"/>
    </row>
    <row r="530">
      <c r="I530" s="37"/>
      <c r="J530" s="11"/>
    </row>
    <row r="531">
      <c r="I531" s="37"/>
      <c r="J531" s="11"/>
    </row>
    <row r="532">
      <c r="I532" s="37"/>
      <c r="J532" s="11"/>
    </row>
    <row r="533">
      <c r="I533" s="37"/>
      <c r="J533" s="11"/>
    </row>
    <row r="534">
      <c r="I534" s="37"/>
      <c r="J534" s="11"/>
    </row>
    <row r="535">
      <c r="I535" s="37"/>
      <c r="J535" s="11"/>
    </row>
    <row r="536">
      <c r="I536" s="37"/>
      <c r="J536" s="11"/>
    </row>
    <row r="537">
      <c r="I537" s="37"/>
      <c r="J537" s="11"/>
    </row>
    <row r="538">
      <c r="I538" s="37"/>
      <c r="J538" s="11"/>
    </row>
    <row r="539">
      <c r="I539" s="37"/>
      <c r="J539" s="11"/>
    </row>
    <row r="540">
      <c r="I540" s="37"/>
      <c r="J540" s="11"/>
    </row>
    <row r="541">
      <c r="I541" s="37"/>
      <c r="J541" s="11"/>
    </row>
    <row r="542">
      <c r="I542" s="37"/>
      <c r="J542" s="11"/>
    </row>
    <row r="543">
      <c r="I543" s="37"/>
      <c r="J543" s="11"/>
    </row>
    <row r="544">
      <c r="I544" s="37"/>
      <c r="J544" s="11"/>
    </row>
    <row r="545">
      <c r="I545" s="37"/>
      <c r="J545" s="11"/>
    </row>
    <row r="546">
      <c r="I546" s="37"/>
      <c r="J546" s="11"/>
    </row>
    <row r="547">
      <c r="I547" s="37"/>
      <c r="J547" s="11"/>
    </row>
    <row r="548">
      <c r="I548" s="37"/>
      <c r="J548" s="11"/>
    </row>
    <row r="549">
      <c r="I549" s="37"/>
      <c r="J549" s="11"/>
    </row>
    <row r="550">
      <c r="I550" s="37"/>
      <c r="J550" s="11"/>
    </row>
    <row r="551">
      <c r="I551" s="37"/>
      <c r="J551" s="11"/>
    </row>
    <row r="552">
      <c r="I552" s="37"/>
      <c r="J552" s="11"/>
    </row>
    <row r="553">
      <c r="I553" s="37"/>
      <c r="J553" s="11"/>
    </row>
    <row r="554">
      <c r="I554" s="37"/>
      <c r="J554" s="11"/>
    </row>
    <row r="555">
      <c r="I555" s="37"/>
      <c r="J555" s="11"/>
    </row>
    <row r="556">
      <c r="I556" s="37"/>
      <c r="J556" s="11"/>
    </row>
    <row r="557">
      <c r="I557" s="37"/>
      <c r="J557" s="11"/>
    </row>
    <row r="558">
      <c r="I558" s="37"/>
      <c r="J558" s="11"/>
    </row>
    <row r="559">
      <c r="I559" s="37"/>
      <c r="J559" s="11"/>
    </row>
    <row r="560">
      <c r="I560" s="37"/>
      <c r="J560" s="11"/>
    </row>
    <row r="561">
      <c r="I561" s="37"/>
      <c r="J561" s="11"/>
    </row>
    <row r="562">
      <c r="I562" s="37"/>
      <c r="J562" s="11"/>
    </row>
    <row r="563">
      <c r="I563" s="37"/>
      <c r="J563" s="11"/>
    </row>
    <row r="564">
      <c r="I564" s="37"/>
      <c r="J564" s="11"/>
    </row>
    <row r="565">
      <c r="I565" s="37"/>
      <c r="J565" s="11"/>
    </row>
    <row r="566">
      <c r="I566" s="37"/>
      <c r="J566" s="11"/>
    </row>
    <row r="567">
      <c r="I567" s="37"/>
      <c r="J567" s="11"/>
    </row>
    <row r="568">
      <c r="I568" s="37"/>
      <c r="J568" s="11"/>
    </row>
    <row r="569">
      <c r="I569" s="37"/>
      <c r="J569" s="11"/>
    </row>
    <row r="570">
      <c r="I570" s="37"/>
      <c r="J570" s="11"/>
    </row>
    <row r="571">
      <c r="I571" s="37"/>
      <c r="J571" s="11"/>
    </row>
    <row r="572">
      <c r="I572" s="37"/>
      <c r="J572" s="11"/>
    </row>
    <row r="573">
      <c r="I573" s="37"/>
      <c r="J573" s="11"/>
    </row>
    <row r="574">
      <c r="I574" s="37"/>
      <c r="J574" s="11"/>
    </row>
    <row r="575">
      <c r="I575" s="37"/>
      <c r="J575" s="11"/>
    </row>
    <row r="576">
      <c r="I576" s="37"/>
      <c r="J576" s="11"/>
    </row>
    <row r="577">
      <c r="I577" s="37"/>
      <c r="J577" s="11"/>
    </row>
    <row r="578">
      <c r="I578" s="37"/>
      <c r="J578" s="11"/>
    </row>
    <row r="579">
      <c r="I579" s="37"/>
      <c r="J579" s="11"/>
    </row>
    <row r="580">
      <c r="I580" s="37"/>
      <c r="J580" s="11"/>
    </row>
    <row r="581">
      <c r="I581" s="37"/>
      <c r="J581" s="11"/>
    </row>
    <row r="582">
      <c r="I582" s="37"/>
      <c r="J582" s="11"/>
    </row>
    <row r="583">
      <c r="I583" s="37"/>
      <c r="J583" s="11"/>
    </row>
    <row r="584">
      <c r="I584" s="37"/>
      <c r="J584" s="11"/>
    </row>
    <row r="585">
      <c r="I585" s="37"/>
      <c r="J585" s="11"/>
    </row>
    <row r="586">
      <c r="I586" s="37"/>
      <c r="J586" s="11"/>
    </row>
    <row r="587">
      <c r="I587" s="37"/>
      <c r="J587" s="11"/>
    </row>
    <row r="588">
      <c r="I588" s="37"/>
      <c r="J588" s="11"/>
    </row>
    <row r="589">
      <c r="I589" s="37"/>
      <c r="J589" s="11"/>
    </row>
    <row r="590">
      <c r="I590" s="37"/>
      <c r="J590" s="11"/>
    </row>
    <row r="591">
      <c r="I591" s="37"/>
      <c r="J591" s="11"/>
    </row>
    <row r="592">
      <c r="I592" s="37"/>
      <c r="J592" s="11"/>
    </row>
    <row r="593">
      <c r="I593" s="37"/>
      <c r="J593" s="11"/>
    </row>
    <row r="594">
      <c r="I594" s="37"/>
      <c r="J594" s="11"/>
    </row>
    <row r="595">
      <c r="I595" s="37"/>
      <c r="J595" s="11"/>
    </row>
    <row r="596">
      <c r="I596" s="37"/>
      <c r="J596" s="11"/>
    </row>
    <row r="597">
      <c r="I597" s="37"/>
      <c r="J597" s="11"/>
    </row>
    <row r="598">
      <c r="I598" s="37"/>
      <c r="J598" s="11"/>
    </row>
    <row r="599">
      <c r="I599" s="37"/>
      <c r="J599" s="11"/>
    </row>
    <row r="600">
      <c r="I600" s="37"/>
      <c r="J600" s="11"/>
    </row>
    <row r="601">
      <c r="I601" s="37"/>
      <c r="J601" s="11"/>
    </row>
    <row r="602">
      <c r="I602" s="37"/>
      <c r="J602" s="11"/>
    </row>
    <row r="603">
      <c r="I603" s="37"/>
      <c r="J603" s="11"/>
    </row>
    <row r="604">
      <c r="I604" s="37"/>
      <c r="J604" s="11"/>
    </row>
    <row r="605">
      <c r="I605" s="37"/>
      <c r="J605" s="11"/>
    </row>
    <row r="606">
      <c r="I606" s="37"/>
      <c r="J606" s="11"/>
    </row>
    <row r="607">
      <c r="I607" s="37"/>
      <c r="J607" s="11"/>
    </row>
    <row r="608">
      <c r="I608" s="37"/>
      <c r="J608" s="11"/>
    </row>
    <row r="609">
      <c r="I609" s="37"/>
      <c r="J609" s="11"/>
    </row>
    <row r="610">
      <c r="I610" s="37"/>
      <c r="J610" s="11"/>
    </row>
    <row r="611">
      <c r="I611" s="37"/>
      <c r="J611" s="11"/>
    </row>
    <row r="612">
      <c r="I612" s="37"/>
      <c r="J612" s="11"/>
    </row>
    <row r="613">
      <c r="I613" s="37"/>
      <c r="J613" s="11"/>
    </row>
    <row r="614">
      <c r="I614" s="37"/>
      <c r="J614" s="11"/>
    </row>
    <row r="615">
      <c r="I615" s="37"/>
      <c r="J615" s="11"/>
    </row>
    <row r="616">
      <c r="I616" s="37"/>
      <c r="J616" s="11"/>
    </row>
    <row r="617">
      <c r="I617" s="37"/>
      <c r="J617" s="11"/>
    </row>
    <row r="618">
      <c r="I618" s="37"/>
      <c r="J618" s="11"/>
    </row>
    <row r="619">
      <c r="I619" s="37"/>
      <c r="J619" s="11"/>
    </row>
    <row r="620">
      <c r="I620" s="37"/>
      <c r="J620" s="11"/>
    </row>
    <row r="621">
      <c r="I621" s="37"/>
      <c r="J621" s="11"/>
    </row>
    <row r="622">
      <c r="I622" s="37"/>
      <c r="J622" s="11"/>
    </row>
    <row r="623">
      <c r="I623" s="37"/>
      <c r="J623" s="11"/>
    </row>
    <row r="624">
      <c r="I624" s="37"/>
      <c r="J624" s="11"/>
    </row>
    <row r="625">
      <c r="I625" s="37"/>
      <c r="J625" s="11"/>
    </row>
    <row r="626">
      <c r="I626" s="37"/>
      <c r="J626" s="11"/>
    </row>
    <row r="627">
      <c r="I627" s="37"/>
      <c r="J627" s="11"/>
    </row>
    <row r="628">
      <c r="I628" s="37"/>
      <c r="J628" s="11"/>
    </row>
    <row r="629">
      <c r="I629" s="37"/>
      <c r="J629" s="11"/>
    </row>
    <row r="630">
      <c r="I630" s="37"/>
      <c r="J630" s="11"/>
    </row>
    <row r="631">
      <c r="I631" s="37"/>
      <c r="J631" s="11"/>
    </row>
    <row r="632">
      <c r="I632" s="37"/>
      <c r="J632" s="11"/>
    </row>
    <row r="633">
      <c r="I633" s="37"/>
      <c r="J633" s="11"/>
    </row>
    <row r="634">
      <c r="I634" s="37"/>
      <c r="J634" s="11"/>
    </row>
    <row r="635">
      <c r="I635" s="37"/>
      <c r="J635" s="11"/>
    </row>
    <row r="636">
      <c r="I636" s="37"/>
      <c r="J636" s="11"/>
    </row>
    <row r="637">
      <c r="I637" s="37"/>
      <c r="J637" s="11"/>
    </row>
    <row r="638">
      <c r="I638" s="37"/>
      <c r="J638" s="11"/>
    </row>
    <row r="639">
      <c r="I639" s="37"/>
      <c r="J639" s="11"/>
    </row>
    <row r="640">
      <c r="I640" s="37"/>
      <c r="J640" s="11"/>
    </row>
    <row r="641">
      <c r="I641" s="37"/>
      <c r="J641" s="11"/>
    </row>
    <row r="642">
      <c r="I642" s="37"/>
      <c r="J642" s="11"/>
    </row>
    <row r="643">
      <c r="I643" s="37"/>
      <c r="J643" s="11"/>
    </row>
    <row r="644">
      <c r="I644" s="37"/>
      <c r="J644" s="11"/>
    </row>
    <row r="645">
      <c r="I645" s="37"/>
      <c r="J645" s="11"/>
    </row>
    <row r="646">
      <c r="I646" s="37"/>
      <c r="J646" s="11"/>
    </row>
    <row r="647">
      <c r="I647" s="37"/>
      <c r="J647" s="11"/>
    </row>
    <row r="648">
      <c r="I648" s="37"/>
      <c r="J648" s="11"/>
    </row>
    <row r="649">
      <c r="I649" s="37"/>
      <c r="J649" s="11"/>
    </row>
    <row r="650">
      <c r="I650" s="37"/>
      <c r="J650" s="11"/>
    </row>
    <row r="651">
      <c r="I651" s="37"/>
      <c r="J651" s="11"/>
    </row>
    <row r="652">
      <c r="I652" s="37"/>
      <c r="J652" s="11"/>
    </row>
    <row r="653">
      <c r="I653" s="37"/>
      <c r="J653" s="11"/>
    </row>
    <row r="654">
      <c r="I654" s="37"/>
      <c r="J654" s="11"/>
    </row>
    <row r="655">
      <c r="I655" s="37"/>
      <c r="J655" s="11"/>
    </row>
    <row r="656">
      <c r="I656" s="37"/>
      <c r="J656" s="11"/>
    </row>
    <row r="657">
      <c r="I657" s="37"/>
      <c r="J657" s="11"/>
    </row>
    <row r="658">
      <c r="I658" s="37"/>
      <c r="J658" s="11"/>
    </row>
    <row r="659">
      <c r="I659" s="37"/>
      <c r="J659" s="11"/>
    </row>
    <row r="660">
      <c r="I660" s="37"/>
      <c r="J660" s="11"/>
    </row>
    <row r="661">
      <c r="I661" s="37"/>
      <c r="J661" s="11"/>
    </row>
    <row r="662">
      <c r="I662" s="37"/>
      <c r="J662" s="11"/>
    </row>
    <row r="663">
      <c r="I663" s="37"/>
      <c r="J663" s="11"/>
    </row>
    <row r="664">
      <c r="I664" s="37"/>
      <c r="J664" s="11"/>
    </row>
    <row r="665">
      <c r="I665" s="37"/>
      <c r="J665" s="11"/>
    </row>
    <row r="666">
      <c r="I666" s="37"/>
      <c r="J666" s="11"/>
    </row>
    <row r="667">
      <c r="I667" s="37"/>
      <c r="J667" s="11"/>
    </row>
    <row r="668">
      <c r="I668" s="37"/>
      <c r="J668" s="11"/>
    </row>
    <row r="669">
      <c r="I669" s="37"/>
      <c r="J669" s="11"/>
    </row>
    <row r="670">
      <c r="I670" s="37"/>
      <c r="J670" s="11"/>
    </row>
    <row r="671">
      <c r="I671" s="37"/>
      <c r="J671" s="11"/>
    </row>
    <row r="672">
      <c r="I672" s="37"/>
      <c r="J672" s="11"/>
    </row>
    <row r="673">
      <c r="I673" s="37"/>
      <c r="J673" s="11"/>
    </row>
    <row r="674">
      <c r="I674" s="37"/>
      <c r="J674" s="11"/>
    </row>
    <row r="675">
      <c r="I675" s="37"/>
      <c r="J675" s="11"/>
    </row>
    <row r="676">
      <c r="I676" s="37"/>
      <c r="J676" s="11"/>
    </row>
    <row r="677">
      <c r="I677" s="37"/>
      <c r="J677" s="11"/>
    </row>
    <row r="678">
      <c r="I678" s="37"/>
      <c r="J678" s="11"/>
    </row>
    <row r="679">
      <c r="I679" s="37"/>
      <c r="J679" s="11"/>
    </row>
    <row r="680">
      <c r="I680" s="37"/>
      <c r="J680" s="11"/>
    </row>
    <row r="681">
      <c r="I681" s="37"/>
      <c r="J681" s="11"/>
    </row>
    <row r="682">
      <c r="I682" s="37"/>
      <c r="J682" s="11"/>
    </row>
    <row r="683">
      <c r="I683" s="37"/>
      <c r="J683" s="11"/>
    </row>
    <row r="684">
      <c r="I684" s="37"/>
      <c r="J684" s="11"/>
    </row>
    <row r="685">
      <c r="I685" s="37"/>
      <c r="J685" s="11"/>
    </row>
    <row r="686">
      <c r="I686" s="37"/>
      <c r="J686" s="11"/>
    </row>
    <row r="687">
      <c r="I687" s="37"/>
      <c r="J687" s="11"/>
    </row>
    <row r="688">
      <c r="I688" s="37"/>
      <c r="J688" s="11"/>
    </row>
    <row r="689">
      <c r="I689" s="37"/>
      <c r="J689" s="11"/>
    </row>
    <row r="690">
      <c r="I690" s="37"/>
      <c r="J690" s="11"/>
    </row>
    <row r="691">
      <c r="I691" s="37"/>
      <c r="J691" s="11"/>
    </row>
    <row r="692">
      <c r="I692" s="37"/>
      <c r="J692" s="11"/>
    </row>
    <row r="693">
      <c r="I693" s="37"/>
      <c r="J693" s="11"/>
    </row>
    <row r="694">
      <c r="I694" s="37"/>
      <c r="J694" s="11"/>
    </row>
    <row r="695">
      <c r="I695" s="37"/>
      <c r="J695" s="11"/>
    </row>
    <row r="696">
      <c r="I696" s="37"/>
      <c r="J696" s="11"/>
    </row>
    <row r="697">
      <c r="I697" s="37"/>
      <c r="J697" s="11"/>
    </row>
    <row r="698">
      <c r="I698" s="37"/>
      <c r="J698" s="11"/>
    </row>
    <row r="699">
      <c r="I699" s="37"/>
      <c r="J699" s="11"/>
    </row>
    <row r="700">
      <c r="I700" s="37"/>
      <c r="J700" s="11"/>
    </row>
    <row r="701">
      <c r="I701" s="37"/>
      <c r="J701" s="11"/>
    </row>
    <row r="702">
      <c r="I702" s="37"/>
      <c r="J702" s="11"/>
    </row>
    <row r="703">
      <c r="I703" s="37"/>
      <c r="J703" s="11"/>
    </row>
    <row r="704">
      <c r="I704" s="37"/>
      <c r="J704" s="11"/>
    </row>
    <row r="705">
      <c r="I705" s="37"/>
      <c r="J705" s="11"/>
    </row>
    <row r="706">
      <c r="I706" s="37"/>
      <c r="J706" s="11"/>
    </row>
    <row r="707">
      <c r="I707" s="37"/>
      <c r="J707" s="11"/>
    </row>
    <row r="708">
      <c r="I708" s="37"/>
      <c r="J708" s="11"/>
    </row>
    <row r="709">
      <c r="I709" s="37"/>
      <c r="J709" s="11"/>
    </row>
    <row r="710">
      <c r="I710" s="37"/>
      <c r="J710" s="11"/>
    </row>
    <row r="711">
      <c r="I711" s="37"/>
      <c r="J711" s="11"/>
    </row>
    <row r="712">
      <c r="I712" s="37"/>
      <c r="J712" s="11"/>
    </row>
    <row r="713">
      <c r="I713" s="37"/>
      <c r="J713" s="11"/>
    </row>
    <row r="714">
      <c r="I714" s="37"/>
      <c r="J714" s="11"/>
    </row>
    <row r="715">
      <c r="I715" s="37"/>
      <c r="J715" s="11"/>
    </row>
    <row r="716">
      <c r="I716" s="37"/>
      <c r="J716" s="11"/>
    </row>
    <row r="717">
      <c r="I717" s="37"/>
      <c r="J717" s="11"/>
    </row>
    <row r="718">
      <c r="I718" s="37"/>
      <c r="J718" s="11"/>
    </row>
    <row r="719">
      <c r="I719" s="37"/>
      <c r="J719" s="11"/>
    </row>
    <row r="720">
      <c r="I720" s="37"/>
      <c r="J720" s="11"/>
    </row>
    <row r="721">
      <c r="I721" s="37"/>
      <c r="J721" s="11"/>
    </row>
    <row r="722">
      <c r="I722" s="37"/>
      <c r="J722" s="11"/>
    </row>
    <row r="723">
      <c r="I723" s="37"/>
      <c r="J723" s="11"/>
    </row>
    <row r="724">
      <c r="I724" s="37"/>
      <c r="J724" s="11"/>
    </row>
    <row r="725">
      <c r="I725" s="37"/>
      <c r="J725" s="11"/>
    </row>
    <row r="726">
      <c r="I726" s="37"/>
      <c r="J726" s="11"/>
    </row>
    <row r="727">
      <c r="I727" s="37"/>
      <c r="J727" s="11"/>
    </row>
    <row r="728">
      <c r="I728" s="37"/>
      <c r="J728" s="11"/>
    </row>
    <row r="729">
      <c r="I729" s="37"/>
      <c r="J729" s="11"/>
    </row>
    <row r="730">
      <c r="I730" s="37"/>
      <c r="J730" s="11"/>
    </row>
    <row r="731">
      <c r="I731" s="37"/>
      <c r="J731" s="11"/>
    </row>
    <row r="732">
      <c r="I732" s="37"/>
      <c r="J732" s="11"/>
    </row>
    <row r="733">
      <c r="I733" s="37"/>
      <c r="J733" s="11"/>
    </row>
    <row r="734">
      <c r="I734" s="37"/>
      <c r="J734" s="11"/>
    </row>
    <row r="735">
      <c r="I735" s="37"/>
      <c r="J735" s="11"/>
    </row>
    <row r="736">
      <c r="I736" s="37"/>
      <c r="J736" s="11"/>
    </row>
    <row r="737">
      <c r="I737" s="37"/>
      <c r="J737" s="11"/>
    </row>
    <row r="738">
      <c r="I738" s="37"/>
      <c r="J738" s="11"/>
    </row>
    <row r="739">
      <c r="I739" s="37"/>
      <c r="J739" s="11"/>
    </row>
    <row r="740">
      <c r="I740" s="37"/>
      <c r="J740" s="11"/>
    </row>
    <row r="741">
      <c r="I741" s="37"/>
      <c r="J741" s="11"/>
    </row>
    <row r="742">
      <c r="I742" s="37"/>
      <c r="J742" s="11"/>
    </row>
    <row r="743">
      <c r="I743" s="37"/>
      <c r="J743" s="11"/>
    </row>
    <row r="744">
      <c r="I744" s="37"/>
      <c r="J744" s="11"/>
    </row>
    <row r="745">
      <c r="I745" s="37"/>
      <c r="J745" s="11"/>
    </row>
    <row r="746">
      <c r="I746" s="37"/>
      <c r="J746" s="11"/>
    </row>
    <row r="747">
      <c r="I747" s="37"/>
      <c r="J747" s="11"/>
    </row>
    <row r="748">
      <c r="I748" s="37"/>
      <c r="J748" s="11"/>
    </row>
    <row r="749">
      <c r="I749" s="37"/>
      <c r="J749" s="11"/>
    </row>
    <row r="750">
      <c r="I750" s="37"/>
      <c r="J750" s="11"/>
    </row>
    <row r="751">
      <c r="I751" s="37"/>
      <c r="J751" s="11"/>
    </row>
    <row r="752">
      <c r="I752" s="37"/>
      <c r="J752" s="11"/>
    </row>
    <row r="753">
      <c r="I753" s="37"/>
      <c r="J753" s="11"/>
    </row>
    <row r="754">
      <c r="I754" s="37"/>
      <c r="J754" s="11"/>
    </row>
    <row r="755">
      <c r="I755" s="37"/>
      <c r="J755" s="11"/>
    </row>
    <row r="756">
      <c r="I756" s="37"/>
      <c r="J756" s="11"/>
    </row>
    <row r="757">
      <c r="I757" s="37"/>
      <c r="J757" s="11"/>
    </row>
    <row r="758">
      <c r="I758" s="37"/>
      <c r="J758" s="11"/>
    </row>
    <row r="759">
      <c r="I759" s="37"/>
      <c r="J759" s="11"/>
    </row>
    <row r="760">
      <c r="I760" s="37"/>
      <c r="J760" s="11"/>
    </row>
    <row r="761">
      <c r="I761" s="37"/>
      <c r="J761" s="11"/>
    </row>
    <row r="762">
      <c r="I762" s="37"/>
      <c r="J762" s="11"/>
    </row>
    <row r="763">
      <c r="I763" s="37"/>
      <c r="J763" s="11"/>
    </row>
    <row r="764">
      <c r="I764" s="37"/>
      <c r="J764" s="11"/>
    </row>
    <row r="765">
      <c r="I765" s="37"/>
      <c r="J765" s="11"/>
    </row>
    <row r="766">
      <c r="I766" s="37"/>
      <c r="J766" s="11"/>
    </row>
    <row r="767">
      <c r="I767" s="37"/>
      <c r="J767" s="11"/>
    </row>
    <row r="768">
      <c r="I768" s="37"/>
      <c r="J768" s="11"/>
    </row>
    <row r="769">
      <c r="I769" s="37"/>
      <c r="J769" s="11"/>
    </row>
    <row r="770">
      <c r="I770" s="37"/>
      <c r="J770" s="11"/>
    </row>
    <row r="771">
      <c r="I771" s="37"/>
      <c r="J771" s="11"/>
    </row>
    <row r="772">
      <c r="I772" s="37"/>
      <c r="J772" s="11"/>
    </row>
    <row r="773">
      <c r="I773" s="37"/>
      <c r="J773" s="11"/>
    </row>
    <row r="774">
      <c r="I774" s="37"/>
      <c r="J774" s="11"/>
    </row>
    <row r="775">
      <c r="I775" s="37"/>
      <c r="J775" s="11"/>
    </row>
    <row r="776">
      <c r="I776" s="37"/>
      <c r="J776" s="11"/>
    </row>
    <row r="777">
      <c r="I777" s="37"/>
      <c r="J777" s="11"/>
    </row>
    <row r="778">
      <c r="I778" s="37"/>
      <c r="J778" s="11"/>
    </row>
    <row r="779">
      <c r="I779" s="37"/>
      <c r="J779" s="11"/>
    </row>
    <row r="780">
      <c r="I780" s="37"/>
      <c r="J780" s="11"/>
    </row>
    <row r="781">
      <c r="I781" s="37"/>
      <c r="J781" s="11"/>
    </row>
    <row r="782">
      <c r="I782" s="37"/>
      <c r="J782" s="11"/>
    </row>
    <row r="783">
      <c r="I783" s="37"/>
      <c r="J783" s="11"/>
    </row>
    <row r="784">
      <c r="I784" s="37"/>
      <c r="J784" s="11"/>
    </row>
    <row r="785">
      <c r="I785" s="37"/>
      <c r="J785" s="11"/>
    </row>
    <row r="786">
      <c r="I786" s="37"/>
      <c r="J786" s="11"/>
    </row>
    <row r="787">
      <c r="I787" s="37"/>
      <c r="J787" s="11"/>
    </row>
    <row r="788">
      <c r="I788" s="37"/>
      <c r="J788" s="11"/>
    </row>
    <row r="789">
      <c r="I789" s="37"/>
      <c r="J789" s="11"/>
    </row>
    <row r="790">
      <c r="I790" s="37"/>
      <c r="J790" s="11"/>
    </row>
    <row r="791">
      <c r="I791" s="37"/>
      <c r="J791" s="11"/>
    </row>
    <row r="792">
      <c r="I792" s="37"/>
      <c r="J792" s="11"/>
    </row>
    <row r="793">
      <c r="I793" s="37"/>
      <c r="J793" s="11"/>
    </row>
    <row r="794">
      <c r="I794" s="37"/>
      <c r="J794" s="11"/>
    </row>
    <row r="795">
      <c r="I795" s="37"/>
      <c r="J795" s="11"/>
    </row>
    <row r="796">
      <c r="I796" s="37"/>
      <c r="J796" s="11"/>
    </row>
    <row r="797">
      <c r="I797" s="37"/>
      <c r="J797" s="11"/>
    </row>
    <row r="798">
      <c r="I798" s="37"/>
      <c r="J798" s="11"/>
    </row>
    <row r="799">
      <c r="I799" s="37"/>
      <c r="J799" s="11"/>
    </row>
    <row r="800">
      <c r="I800" s="37"/>
      <c r="J800" s="11"/>
    </row>
    <row r="801">
      <c r="I801" s="37"/>
      <c r="J801" s="11"/>
    </row>
    <row r="802">
      <c r="I802" s="37"/>
      <c r="J802" s="11"/>
    </row>
    <row r="803">
      <c r="I803" s="37"/>
      <c r="J803" s="11"/>
    </row>
    <row r="804">
      <c r="I804" s="37"/>
      <c r="J804" s="11"/>
    </row>
    <row r="805">
      <c r="I805" s="37"/>
      <c r="J805" s="11"/>
    </row>
    <row r="806">
      <c r="I806" s="37"/>
      <c r="J806" s="11"/>
    </row>
    <row r="807">
      <c r="I807" s="37"/>
      <c r="J807" s="11"/>
    </row>
    <row r="808">
      <c r="I808" s="37"/>
      <c r="J808" s="11"/>
    </row>
    <row r="809">
      <c r="I809" s="37"/>
      <c r="J809" s="11"/>
    </row>
    <row r="810">
      <c r="I810" s="37"/>
      <c r="J810" s="11"/>
    </row>
    <row r="811">
      <c r="I811" s="37"/>
      <c r="J811" s="11"/>
    </row>
    <row r="812">
      <c r="I812" s="37"/>
      <c r="J812" s="11"/>
    </row>
    <row r="813">
      <c r="I813" s="37"/>
      <c r="J813" s="11"/>
    </row>
    <row r="814">
      <c r="I814" s="37"/>
      <c r="J814" s="11"/>
    </row>
    <row r="815">
      <c r="I815" s="37"/>
      <c r="J815" s="11"/>
    </row>
    <row r="816">
      <c r="I816" s="37"/>
      <c r="J816" s="11"/>
    </row>
    <row r="817">
      <c r="I817" s="37"/>
      <c r="J817" s="11"/>
    </row>
    <row r="818">
      <c r="I818" s="37"/>
      <c r="J818" s="11"/>
    </row>
    <row r="819">
      <c r="I819" s="37"/>
      <c r="J819" s="11"/>
    </row>
    <row r="820">
      <c r="I820" s="37"/>
      <c r="J820" s="11"/>
    </row>
    <row r="821">
      <c r="I821" s="37"/>
      <c r="J821" s="11"/>
    </row>
    <row r="822">
      <c r="I822" s="37"/>
      <c r="J822" s="11"/>
    </row>
    <row r="823">
      <c r="I823" s="37"/>
      <c r="J823" s="11"/>
    </row>
    <row r="824">
      <c r="I824" s="37"/>
      <c r="J824" s="11"/>
    </row>
    <row r="825">
      <c r="I825" s="37"/>
      <c r="J825" s="11"/>
    </row>
    <row r="826">
      <c r="I826" s="37"/>
      <c r="J826" s="11"/>
    </row>
    <row r="827">
      <c r="I827" s="37"/>
      <c r="J827" s="11"/>
    </row>
    <row r="828">
      <c r="I828" s="37"/>
      <c r="J828" s="11"/>
    </row>
    <row r="829">
      <c r="I829" s="37"/>
      <c r="J829" s="11"/>
    </row>
    <row r="830">
      <c r="I830" s="37"/>
      <c r="J830" s="11"/>
    </row>
    <row r="831">
      <c r="I831" s="37"/>
      <c r="J831" s="11"/>
    </row>
    <row r="832">
      <c r="I832" s="37"/>
      <c r="J832" s="11"/>
    </row>
    <row r="833">
      <c r="I833" s="37"/>
      <c r="J833" s="11"/>
    </row>
    <row r="834">
      <c r="I834" s="37"/>
      <c r="J834" s="11"/>
    </row>
    <row r="835">
      <c r="I835" s="37"/>
      <c r="J835" s="11"/>
    </row>
    <row r="836">
      <c r="I836" s="37"/>
      <c r="J836" s="11"/>
    </row>
    <row r="837">
      <c r="I837" s="37"/>
      <c r="J837" s="11"/>
    </row>
    <row r="838">
      <c r="I838" s="37"/>
      <c r="J838" s="11"/>
    </row>
    <row r="839">
      <c r="I839" s="37"/>
      <c r="J839" s="11"/>
    </row>
    <row r="840">
      <c r="I840" s="37"/>
      <c r="J840" s="11"/>
    </row>
    <row r="841">
      <c r="I841" s="37"/>
      <c r="J841" s="11"/>
    </row>
    <row r="842">
      <c r="I842" s="37"/>
      <c r="J842" s="11"/>
    </row>
    <row r="843">
      <c r="I843" s="37"/>
      <c r="J843" s="11"/>
    </row>
    <row r="844">
      <c r="I844" s="37"/>
      <c r="J844" s="11"/>
    </row>
    <row r="845">
      <c r="I845" s="37"/>
      <c r="J845" s="11"/>
    </row>
    <row r="846">
      <c r="I846" s="37"/>
      <c r="J846" s="11"/>
    </row>
    <row r="847">
      <c r="I847" s="37"/>
      <c r="J847" s="11"/>
    </row>
    <row r="848">
      <c r="I848" s="37"/>
      <c r="J848" s="11"/>
    </row>
    <row r="849">
      <c r="I849" s="37"/>
      <c r="J849" s="11"/>
    </row>
    <row r="850">
      <c r="I850" s="37"/>
      <c r="J850" s="11"/>
    </row>
    <row r="851">
      <c r="I851" s="37"/>
      <c r="J851" s="11"/>
    </row>
    <row r="852">
      <c r="I852" s="37"/>
      <c r="J852" s="11"/>
    </row>
    <row r="853">
      <c r="I853" s="37"/>
      <c r="J853" s="11"/>
    </row>
    <row r="854">
      <c r="I854" s="37"/>
      <c r="J854" s="11"/>
    </row>
    <row r="855">
      <c r="I855" s="37"/>
      <c r="J855" s="11"/>
    </row>
    <row r="856">
      <c r="I856" s="37"/>
      <c r="J856" s="11"/>
    </row>
    <row r="857">
      <c r="I857" s="37"/>
      <c r="J857" s="11"/>
    </row>
    <row r="858">
      <c r="I858" s="37"/>
      <c r="J858" s="11"/>
    </row>
    <row r="859">
      <c r="I859" s="37"/>
      <c r="J859" s="11"/>
    </row>
    <row r="860">
      <c r="I860" s="37"/>
      <c r="J860" s="11"/>
    </row>
    <row r="861">
      <c r="I861" s="37"/>
      <c r="J861" s="11"/>
    </row>
    <row r="862">
      <c r="I862" s="37"/>
      <c r="J862" s="11"/>
    </row>
    <row r="863">
      <c r="I863" s="37"/>
      <c r="J863" s="11"/>
    </row>
    <row r="864">
      <c r="I864" s="37"/>
      <c r="J864" s="11"/>
    </row>
    <row r="865">
      <c r="I865" s="37"/>
      <c r="J865" s="11"/>
    </row>
    <row r="866">
      <c r="I866" s="37"/>
      <c r="J866" s="11"/>
    </row>
    <row r="867">
      <c r="I867" s="37"/>
      <c r="J867" s="11"/>
    </row>
    <row r="868">
      <c r="I868" s="37"/>
      <c r="J868" s="11"/>
    </row>
    <row r="869">
      <c r="I869" s="37"/>
      <c r="J869" s="11"/>
    </row>
    <row r="870">
      <c r="I870" s="37"/>
      <c r="J870" s="11"/>
    </row>
    <row r="871">
      <c r="I871" s="37"/>
      <c r="J871" s="11"/>
    </row>
    <row r="872">
      <c r="I872" s="37"/>
      <c r="J872" s="11"/>
    </row>
    <row r="873">
      <c r="I873" s="37"/>
      <c r="J873" s="11"/>
    </row>
    <row r="874">
      <c r="I874" s="37"/>
      <c r="J874" s="11"/>
    </row>
    <row r="875">
      <c r="I875" s="37"/>
      <c r="J875" s="11"/>
    </row>
    <row r="876">
      <c r="I876" s="37"/>
      <c r="J876" s="11"/>
    </row>
    <row r="877">
      <c r="I877" s="37"/>
      <c r="J877" s="11"/>
    </row>
    <row r="878">
      <c r="I878" s="37"/>
      <c r="J878" s="11"/>
    </row>
    <row r="879">
      <c r="I879" s="37"/>
      <c r="J879" s="11"/>
    </row>
    <row r="880">
      <c r="I880" s="37"/>
      <c r="J880" s="11"/>
    </row>
    <row r="881">
      <c r="I881" s="37"/>
      <c r="J881" s="11"/>
    </row>
    <row r="882">
      <c r="I882" s="37"/>
      <c r="J882" s="11"/>
    </row>
    <row r="883">
      <c r="I883" s="37"/>
      <c r="J883" s="11"/>
    </row>
    <row r="884">
      <c r="I884" s="37"/>
      <c r="J884" s="11"/>
    </row>
    <row r="885">
      <c r="I885" s="37"/>
      <c r="J885" s="11"/>
    </row>
    <row r="886">
      <c r="I886" s="37"/>
      <c r="J886" s="11"/>
    </row>
    <row r="887">
      <c r="I887" s="37"/>
      <c r="J887" s="11"/>
    </row>
    <row r="888">
      <c r="I888" s="37"/>
      <c r="J888" s="11"/>
    </row>
    <row r="889">
      <c r="I889" s="37"/>
      <c r="J889" s="11"/>
    </row>
    <row r="890">
      <c r="I890" s="37"/>
      <c r="J890" s="11"/>
    </row>
    <row r="891">
      <c r="I891" s="37"/>
      <c r="J891" s="11"/>
    </row>
    <row r="892">
      <c r="I892" s="37"/>
      <c r="J892" s="11"/>
    </row>
    <row r="893">
      <c r="I893" s="37"/>
      <c r="J893" s="11"/>
    </row>
    <row r="894">
      <c r="I894" s="37"/>
      <c r="J894" s="11"/>
    </row>
    <row r="895">
      <c r="I895" s="37"/>
      <c r="J895" s="11"/>
    </row>
    <row r="896">
      <c r="I896" s="37"/>
      <c r="J896" s="11"/>
    </row>
    <row r="897">
      <c r="I897" s="37"/>
      <c r="J897" s="11"/>
    </row>
    <row r="898">
      <c r="I898" s="37"/>
      <c r="J898" s="11"/>
    </row>
    <row r="899">
      <c r="I899" s="37"/>
      <c r="J899" s="11"/>
    </row>
    <row r="900">
      <c r="I900" s="37"/>
      <c r="J900" s="11"/>
    </row>
    <row r="901">
      <c r="I901" s="37"/>
      <c r="J901" s="11"/>
    </row>
    <row r="902">
      <c r="I902" s="37"/>
      <c r="J902" s="11"/>
    </row>
    <row r="903">
      <c r="I903" s="37"/>
      <c r="J903" s="11"/>
    </row>
    <row r="904">
      <c r="I904" s="37"/>
      <c r="J904" s="11"/>
    </row>
    <row r="905">
      <c r="I905" s="37"/>
      <c r="J905" s="11"/>
    </row>
    <row r="906">
      <c r="I906" s="37"/>
      <c r="J906" s="11"/>
    </row>
    <row r="907">
      <c r="I907" s="37"/>
      <c r="J907" s="11"/>
    </row>
    <row r="908">
      <c r="I908" s="37"/>
      <c r="J908" s="11"/>
    </row>
    <row r="909">
      <c r="I909" s="37"/>
      <c r="J909" s="11"/>
    </row>
    <row r="910">
      <c r="I910" s="37"/>
      <c r="J910" s="11"/>
    </row>
    <row r="911">
      <c r="I911" s="37"/>
      <c r="J911" s="11"/>
    </row>
    <row r="912">
      <c r="I912" s="37"/>
      <c r="J912" s="11"/>
    </row>
    <row r="913">
      <c r="I913" s="37"/>
      <c r="J913" s="11"/>
    </row>
    <row r="914">
      <c r="I914" s="37"/>
      <c r="J914" s="11"/>
    </row>
    <row r="915">
      <c r="I915" s="37"/>
      <c r="J915" s="11"/>
    </row>
    <row r="916">
      <c r="I916" s="37"/>
      <c r="J916" s="11"/>
    </row>
    <row r="917">
      <c r="I917" s="37"/>
      <c r="J917" s="11"/>
    </row>
    <row r="918">
      <c r="I918" s="37"/>
      <c r="J918" s="11"/>
    </row>
    <row r="919">
      <c r="I919" s="37"/>
      <c r="J919" s="11"/>
    </row>
    <row r="920">
      <c r="I920" s="37"/>
      <c r="J920" s="11"/>
    </row>
    <row r="921">
      <c r="I921" s="37"/>
      <c r="J921" s="11"/>
    </row>
    <row r="922">
      <c r="I922" s="37"/>
      <c r="J922" s="11"/>
    </row>
    <row r="923">
      <c r="I923" s="37"/>
      <c r="J923" s="11"/>
    </row>
    <row r="924">
      <c r="I924" s="37"/>
      <c r="J924" s="11"/>
    </row>
    <row r="925">
      <c r="I925" s="37"/>
      <c r="J925" s="11"/>
    </row>
    <row r="926">
      <c r="I926" s="37"/>
      <c r="J926" s="11"/>
    </row>
    <row r="927">
      <c r="I927" s="37"/>
      <c r="J927" s="11"/>
    </row>
    <row r="928">
      <c r="I928" s="37"/>
      <c r="J928" s="11"/>
    </row>
    <row r="929">
      <c r="I929" s="37"/>
      <c r="J929" s="11"/>
    </row>
    <row r="930">
      <c r="I930" s="37"/>
      <c r="J930" s="11"/>
    </row>
    <row r="931">
      <c r="I931" s="37"/>
      <c r="J931" s="11"/>
    </row>
    <row r="932">
      <c r="I932" s="37"/>
      <c r="J932" s="11"/>
    </row>
    <row r="933">
      <c r="I933" s="37"/>
      <c r="J933" s="11"/>
    </row>
    <row r="934">
      <c r="I934" s="37"/>
      <c r="J934" s="11"/>
    </row>
    <row r="935">
      <c r="I935" s="37"/>
      <c r="J935" s="11"/>
    </row>
    <row r="936">
      <c r="I936" s="37"/>
      <c r="J936" s="11"/>
    </row>
    <row r="937">
      <c r="I937" s="37"/>
      <c r="J937" s="11"/>
    </row>
    <row r="938">
      <c r="I938" s="37"/>
      <c r="J938" s="11"/>
    </row>
    <row r="939">
      <c r="I939" s="37"/>
      <c r="J939" s="11"/>
    </row>
    <row r="940">
      <c r="I940" s="37"/>
      <c r="J940" s="11"/>
    </row>
    <row r="941">
      <c r="I941" s="37"/>
      <c r="J941" s="11"/>
    </row>
    <row r="942">
      <c r="I942" s="37"/>
      <c r="J942" s="11"/>
    </row>
    <row r="943">
      <c r="I943" s="37"/>
      <c r="J943" s="11"/>
    </row>
    <row r="944">
      <c r="I944" s="37"/>
      <c r="J944" s="11"/>
    </row>
    <row r="945">
      <c r="I945" s="37"/>
      <c r="J945" s="11"/>
    </row>
    <row r="946">
      <c r="I946" s="37"/>
      <c r="J946" s="11"/>
    </row>
    <row r="947">
      <c r="I947" s="37"/>
      <c r="J947" s="11"/>
    </row>
    <row r="948">
      <c r="I948" s="37"/>
      <c r="J948" s="11"/>
    </row>
    <row r="949">
      <c r="I949" s="37"/>
      <c r="J949" s="11"/>
    </row>
    <row r="950">
      <c r="I950" s="37"/>
      <c r="J950" s="11"/>
    </row>
    <row r="951">
      <c r="I951" s="37"/>
      <c r="J951" s="11"/>
    </row>
    <row r="952">
      <c r="I952" s="37"/>
      <c r="J952" s="11"/>
    </row>
    <row r="953">
      <c r="I953" s="37"/>
      <c r="J953" s="11"/>
    </row>
    <row r="954">
      <c r="I954" s="37"/>
      <c r="J954" s="11"/>
    </row>
    <row r="955">
      <c r="I955" s="37"/>
      <c r="J955" s="11"/>
    </row>
    <row r="956">
      <c r="I956" s="37"/>
      <c r="J956" s="11"/>
    </row>
    <row r="957">
      <c r="I957" s="37"/>
      <c r="J957" s="11"/>
    </row>
    <row r="958">
      <c r="I958" s="37"/>
      <c r="J958" s="11"/>
    </row>
    <row r="959">
      <c r="I959" s="37"/>
      <c r="J959" s="11"/>
    </row>
    <row r="960">
      <c r="I960" s="37"/>
      <c r="J960" s="11"/>
    </row>
    <row r="961">
      <c r="I961" s="37"/>
      <c r="J961" s="11"/>
    </row>
    <row r="962">
      <c r="I962" s="37"/>
      <c r="J962" s="11"/>
    </row>
    <row r="963">
      <c r="I963" s="37"/>
      <c r="J963" s="11"/>
    </row>
    <row r="964">
      <c r="I964" s="37"/>
      <c r="J964" s="11"/>
    </row>
    <row r="965">
      <c r="I965" s="37"/>
      <c r="J965" s="11"/>
    </row>
    <row r="966">
      <c r="I966" s="37"/>
      <c r="J966" s="11"/>
    </row>
    <row r="967">
      <c r="I967" s="37"/>
      <c r="J967" s="11"/>
    </row>
    <row r="968">
      <c r="I968" s="37"/>
      <c r="J968" s="11"/>
    </row>
    <row r="969">
      <c r="I969" s="37"/>
      <c r="J969" s="11"/>
    </row>
    <row r="970">
      <c r="I970" s="37"/>
      <c r="J970" s="11"/>
    </row>
    <row r="971">
      <c r="I971" s="37"/>
      <c r="J971" s="11"/>
    </row>
    <row r="972">
      <c r="I972" s="37"/>
      <c r="J972" s="11"/>
    </row>
    <row r="973">
      <c r="I973" s="37"/>
      <c r="J973" s="11"/>
    </row>
    <row r="974">
      <c r="I974" s="37"/>
      <c r="J974" s="11"/>
    </row>
    <row r="975">
      <c r="I975" s="37"/>
      <c r="J975" s="11"/>
    </row>
    <row r="976">
      <c r="I976" s="37"/>
      <c r="J976" s="11"/>
    </row>
    <row r="977">
      <c r="I977" s="37"/>
      <c r="J977" s="11"/>
    </row>
    <row r="978">
      <c r="I978" s="37"/>
      <c r="J978" s="11"/>
    </row>
    <row r="979">
      <c r="I979" s="37"/>
      <c r="J979" s="11"/>
    </row>
    <row r="980">
      <c r="I980" s="37"/>
      <c r="J980" s="11"/>
    </row>
    <row r="981">
      <c r="I981" s="37"/>
      <c r="J981" s="11"/>
    </row>
    <row r="982">
      <c r="I982" s="37"/>
      <c r="J982" s="11"/>
    </row>
    <row r="983">
      <c r="I983" s="37"/>
      <c r="J983" s="11"/>
    </row>
    <row r="984">
      <c r="I984" s="37"/>
      <c r="J984" s="11"/>
    </row>
    <row r="985">
      <c r="I985" s="37"/>
      <c r="J985" s="11"/>
    </row>
    <row r="986">
      <c r="I986" s="37"/>
      <c r="J986" s="11"/>
    </row>
    <row r="987">
      <c r="I987" s="37"/>
      <c r="J987" s="11"/>
    </row>
    <row r="988">
      <c r="I988" s="37"/>
      <c r="J988" s="11"/>
    </row>
    <row r="989">
      <c r="I989" s="37"/>
      <c r="J989" s="11"/>
    </row>
    <row r="990">
      <c r="I990" s="37"/>
      <c r="J990" s="11"/>
    </row>
    <row r="991">
      <c r="I991" s="37"/>
      <c r="J991" s="11"/>
    </row>
    <row r="992">
      <c r="I992" s="37"/>
      <c r="J992" s="11"/>
    </row>
    <row r="993">
      <c r="I993" s="37"/>
      <c r="J993" s="11"/>
    </row>
    <row r="994">
      <c r="I994" s="37"/>
      <c r="J994" s="11"/>
    </row>
    <row r="995">
      <c r="I995" s="37"/>
      <c r="J995" s="11"/>
    </row>
    <row r="996">
      <c r="I996" s="37"/>
      <c r="J996" s="11"/>
    </row>
    <row r="997">
      <c r="I997" s="37"/>
      <c r="J997" s="11"/>
    </row>
    <row r="998">
      <c r="I998" s="37"/>
      <c r="J998" s="11"/>
    </row>
    <row r="999">
      <c r="I999" s="37"/>
      <c r="J999" s="11"/>
    </row>
  </sheetData>
  <mergeCells count="1">
    <mergeCell ref="K2:K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33"/>
    <col customWidth="1" min="2" max="2" width="20.33"/>
    <col customWidth="1" min="3" max="3" width="71.89"/>
    <col customWidth="1" min="4" max="4" width="33.56"/>
    <col customWidth="1" min="5" max="5" width="28.0"/>
    <col customWidth="1" min="6" max="6" width="27.44"/>
    <col customWidth="1" min="7" max="7" width="29.44"/>
    <col customWidth="1" min="8" max="8" width="44.56"/>
    <col customWidth="1" min="9" max="9" width="18.67"/>
    <col customWidth="1" min="10" max="10" width="115.56"/>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660.0" customHeight="1">
      <c r="A2" s="38">
        <v>5.0</v>
      </c>
      <c r="B2" s="24" t="s">
        <v>499</v>
      </c>
      <c r="C2" s="24" t="s">
        <v>500</v>
      </c>
      <c r="D2" s="24" t="s">
        <v>501</v>
      </c>
      <c r="E2" s="24" t="s">
        <v>502</v>
      </c>
      <c r="F2" s="24" t="s">
        <v>503</v>
      </c>
      <c r="G2" s="24" t="s">
        <v>504</v>
      </c>
      <c r="H2" s="24" t="s">
        <v>505</v>
      </c>
      <c r="I2" s="27" t="s">
        <v>389</v>
      </c>
      <c r="J2" s="24" t="s">
        <v>506</v>
      </c>
      <c r="K2" s="24"/>
      <c r="L2" s="24"/>
      <c r="M2" s="24"/>
      <c r="N2" s="24"/>
      <c r="O2" s="24"/>
      <c r="P2" s="24"/>
      <c r="Q2" s="24"/>
      <c r="R2" s="24"/>
      <c r="S2" s="24"/>
      <c r="T2" s="22"/>
      <c r="U2" s="22"/>
      <c r="V2" s="22"/>
      <c r="W2" s="22"/>
      <c r="X2" s="22"/>
      <c r="Y2" s="22"/>
      <c r="Z2" s="2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19.22"/>
    <col customWidth="1" min="3" max="3" width="42.0"/>
    <col customWidth="1" min="4" max="4" width="30.89"/>
    <col customWidth="1" min="5" max="5" width="28.44"/>
    <col customWidth="1" min="6" max="6" width="33.89"/>
    <col customWidth="1" min="7" max="8" width="36.33"/>
    <col customWidth="1" min="9" max="9" width="17.56"/>
    <col customWidth="1" min="10" max="10" width="77.89"/>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978.0" customHeight="1">
      <c r="A2" s="34">
        <v>46028.0</v>
      </c>
      <c r="B2" s="24" t="s">
        <v>507</v>
      </c>
      <c r="C2" s="24" t="s">
        <v>508</v>
      </c>
      <c r="D2" s="24" t="s">
        <v>509</v>
      </c>
      <c r="E2" s="24" t="s">
        <v>510</v>
      </c>
      <c r="F2" s="24" t="s">
        <v>511</v>
      </c>
      <c r="G2" s="24" t="s">
        <v>512</v>
      </c>
      <c r="H2" s="24" t="s">
        <v>513</v>
      </c>
      <c r="I2" s="27" t="s">
        <v>389</v>
      </c>
      <c r="J2" s="24" t="s">
        <v>514</v>
      </c>
      <c r="K2" s="24"/>
      <c r="L2" s="24"/>
      <c r="M2" s="24"/>
      <c r="N2" s="24"/>
      <c r="O2" s="24"/>
      <c r="P2" s="24"/>
      <c r="Q2" s="24"/>
      <c r="R2" s="24"/>
      <c r="S2" s="24"/>
      <c r="T2" s="22"/>
      <c r="U2" s="22"/>
      <c r="V2" s="22"/>
      <c r="W2" s="22"/>
      <c r="X2" s="22"/>
      <c r="Y2" s="22"/>
      <c r="Z2" s="22"/>
    </row>
    <row r="3" ht="417.75" customHeight="1">
      <c r="A3" s="35">
        <v>46059.0</v>
      </c>
      <c r="B3" s="24" t="s">
        <v>515</v>
      </c>
      <c r="C3" s="24" t="s">
        <v>516</v>
      </c>
      <c r="D3" s="24" t="s">
        <v>517</v>
      </c>
      <c r="E3" s="24" t="s">
        <v>518</v>
      </c>
      <c r="F3" s="24" t="s">
        <v>519</v>
      </c>
      <c r="G3" s="24" t="s">
        <v>520</v>
      </c>
      <c r="H3" s="24" t="s">
        <v>521</v>
      </c>
      <c r="I3" s="27" t="s">
        <v>389</v>
      </c>
      <c r="J3" s="24" t="s">
        <v>522</v>
      </c>
      <c r="K3" s="24"/>
      <c r="L3" s="24"/>
      <c r="M3" s="24"/>
      <c r="N3" s="24"/>
      <c r="O3" s="24"/>
      <c r="P3" s="24"/>
      <c r="Q3" s="24"/>
      <c r="R3" s="24"/>
      <c r="S3" s="24"/>
      <c r="T3" s="22"/>
      <c r="U3" s="22"/>
      <c r="V3" s="22"/>
      <c r="W3" s="22"/>
      <c r="X3" s="22"/>
      <c r="Y3" s="22"/>
      <c r="Z3" s="2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6.0"/>
    <col customWidth="1" min="3" max="3" width="46.78"/>
    <col customWidth="1" min="4" max="4" width="78.22"/>
    <col customWidth="1" min="5" max="5" width="33.33"/>
    <col customWidth="1" min="6" max="6" width="46.11"/>
    <col customWidth="1" min="7" max="7" width="43.67"/>
    <col customWidth="1" min="8" max="8" width="44.0"/>
    <col customWidth="1" min="9" max="9" width="16.0"/>
    <col customWidth="1" min="10" max="10" width="56.56"/>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438.75" customHeight="1">
      <c r="A2" s="39">
        <v>1.0</v>
      </c>
      <c r="B2" s="39" t="s">
        <v>523</v>
      </c>
      <c r="C2" s="39" t="s">
        <v>524</v>
      </c>
      <c r="D2" s="39" t="s">
        <v>525</v>
      </c>
      <c r="E2" s="39" t="s">
        <v>526</v>
      </c>
      <c r="F2" s="39" t="s">
        <v>527</v>
      </c>
      <c r="G2" s="39" t="s">
        <v>528</v>
      </c>
      <c r="H2" s="39" t="s">
        <v>529</v>
      </c>
      <c r="I2" s="39" t="s">
        <v>389</v>
      </c>
      <c r="J2" s="40" t="s">
        <v>530</v>
      </c>
      <c r="K2" s="22"/>
      <c r="L2" s="22"/>
      <c r="M2" s="22"/>
      <c r="N2" s="22"/>
      <c r="O2" s="22"/>
      <c r="P2" s="22"/>
      <c r="Q2" s="22"/>
      <c r="R2" s="22"/>
      <c r="S2" s="22"/>
      <c r="T2" s="22"/>
      <c r="U2" s="22"/>
      <c r="V2" s="22"/>
      <c r="W2" s="22"/>
      <c r="X2" s="22"/>
      <c r="Y2" s="22"/>
      <c r="Z2" s="2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17.78"/>
    <col customWidth="1" min="3" max="3" width="36.78"/>
    <col customWidth="1" min="4" max="4" width="72.89"/>
    <col customWidth="1" min="5" max="5" width="23.67"/>
    <col customWidth="1" min="6" max="6" width="78.56"/>
    <col customWidth="1" min="7" max="7" width="47.44"/>
    <col customWidth="1" min="8" max="8" width="82.89"/>
    <col customWidth="1" min="9" max="9" width="16.0"/>
    <col customWidth="1" min="10" max="10" width="90.44"/>
  </cols>
  <sheetData>
    <row r="1">
      <c r="A1" s="2" t="s">
        <v>1</v>
      </c>
      <c r="B1" s="2" t="s">
        <v>2</v>
      </c>
      <c r="C1" s="2" t="s">
        <v>3</v>
      </c>
      <c r="D1" s="2" t="s">
        <v>4</v>
      </c>
      <c r="E1" s="2" t="s">
        <v>5</v>
      </c>
      <c r="F1" s="2" t="s">
        <v>6</v>
      </c>
      <c r="G1" s="7" t="s">
        <v>7</v>
      </c>
      <c r="H1" s="7" t="s">
        <v>8</v>
      </c>
      <c r="I1" s="15" t="s">
        <v>87</v>
      </c>
      <c r="J1" s="7" t="s">
        <v>9</v>
      </c>
      <c r="K1" s="22"/>
      <c r="L1" s="22"/>
      <c r="M1" s="22"/>
      <c r="N1" s="22"/>
      <c r="O1" s="22"/>
      <c r="P1" s="22"/>
      <c r="Q1" s="22"/>
      <c r="R1" s="22"/>
      <c r="S1" s="22"/>
      <c r="T1" s="22"/>
      <c r="U1" s="22"/>
      <c r="V1" s="22"/>
      <c r="W1" s="22"/>
      <c r="X1" s="22"/>
      <c r="Y1" s="22"/>
      <c r="Z1" s="22"/>
    </row>
    <row r="2" ht="1097.25" customHeight="1">
      <c r="A2" s="41" t="s">
        <v>531</v>
      </c>
      <c r="B2" s="26" t="s">
        <v>532</v>
      </c>
      <c r="C2" s="26" t="s">
        <v>533</v>
      </c>
      <c r="D2" s="26" t="s">
        <v>534</v>
      </c>
      <c r="E2" s="26" t="s">
        <v>535</v>
      </c>
      <c r="F2" s="26" t="s">
        <v>536</v>
      </c>
      <c r="G2" s="26" t="s">
        <v>537</v>
      </c>
      <c r="H2" s="42" t="s">
        <v>538</v>
      </c>
      <c r="I2" s="27" t="s">
        <v>389</v>
      </c>
      <c r="J2" s="26" t="s">
        <v>539</v>
      </c>
    </row>
    <row r="3" ht="220.5" customHeight="1">
      <c r="A3" s="41" t="s">
        <v>540</v>
      </c>
      <c r="B3" s="24" t="s">
        <v>541</v>
      </c>
      <c r="C3" s="24" t="s">
        <v>542</v>
      </c>
      <c r="D3" s="24" t="s">
        <v>543</v>
      </c>
      <c r="E3" s="24" t="s">
        <v>544</v>
      </c>
      <c r="F3" s="24" t="s">
        <v>545</v>
      </c>
      <c r="G3" s="24" t="s">
        <v>546</v>
      </c>
      <c r="H3" s="24" t="s">
        <v>547</v>
      </c>
      <c r="I3" s="27" t="s">
        <v>389</v>
      </c>
      <c r="J3" s="24" t="s">
        <v>548</v>
      </c>
    </row>
    <row r="4" ht="220.5" customHeight="1">
      <c r="A4" s="41" t="s">
        <v>549</v>
      </c>
      <c r="B4" s="24" t="s">
        <v>541</v>
      </c>
      <c r="C4" s="24" t="s">
        <v>550</v>
      </c>
      <c r="D4" s="24" t="s">
        <v>551</v>
      </c>
      <c r="E4" s="24" t="s">
        <v>552</v>
      </c>
      <c r="F4" s="24" t="s">
        <v>553</v>
      </c>
      <c r="G4" s="24" t="s">
        <v>554</v>
      </c>
      <c r="H4" s="24" t="s">
        <v>555</v>
      </c>
      <c r="I4" s="27" t="s">
        <v>389</v>
      </c>
      <c r="J4" s="24" t="s">
        <v>556</v>
      </c>
    </row>
    <row r="5" ht="798.75" customHeight="1">
      <c r="A5" s="41" t="s">
        <v>557</v>
      </c>
      <c r="B5" s="24" t="s">
        <v>541</v>
      </c>
      <c r="C5" s="24" t="s">
        <v>558</v>
      </c>
      <c r="D5" s="24" t="s">
        <v>559</v>
      </c>
      <c r="E5" s="24" t="s">
        <v>560</v>
      </c>
      <c r="F5" s="24" t="s">
        <v>561</v>
      </c>
      <c r="G5" s="24" t="s">
        <v>562</v>
      </c>
      <c r="H5" s="24" t="s">
        <v>563</v>
      </c>
      <c r="I5" s="27" t="s">
        <v>389</v>
      </c>
      <c r="J5" s="24" t="s">
        <v>564</v>
      </c>
    </row>
    <row r="6" ht="390.75" customHeight="1">
      <c r="A6" s="41" t="s">
        <v>565</v>
      </c>
      <c r="B6" s="24" t="s">
        <v>566</v>
      </c>
      <c r="C6" s="24" t="s">
        <v>567</v>
      </c>
      <c r="D6" s="24" t="s">
        <v>568</v>
      </c>
      <c r="E6" s="24" t="s">
        <v>569</v>
      </c>
      <c r="F6" s="24" t="s">
        <v>570</v>
      </c>
      <c r="G6" s="24" t="s">
        <v>571</v>
      </c>
      <c r="H6" s="24" t="s">
        <v>572</v>
      </c>
      <c r="I6" s="27" t="s">
        <v>389</v>
      </c>
      <c r="J6" s="24" t="s">
        <v>573</v>
      </c>
    </row>
    <row r="7">
      <c r="I7" s="11"/>
    </row>
    <row r="8">
      <c r="I8" s="11"/>
    </row>
    <row r="9">
      <c r="I9" s="11"/>
    </row>
    <row r="10">
      <c r="I10" s="11"/>
    </row>
    <row r="11">
      <c r="I11" s="11"/>
    </row>
    <row r="12">
      <c r="I12" s="11"/>
    </row>
    <row r="13">
      <c r="I13" s="11"/>
    </row>
    <row r="14">
      <c r="I14" s="11"/>
    </row>
    <row r="15">
      <c r="I15" s="11"/>
    </row>
    <row r="16">
      <c r="I16" s="11"/>
    </row>
    <row r="17">
      <c r="I17" s="11"/>
    </row>
    <row r="18">
      <c r="I18" s="11"/>
    </row>
    <row r="19">
      <c r="I19" s="11"/>
    </row>
    <row r="20">
      <c r="I20" s="11"/>
    </row>
    <row r="21">
      <c r="I21" s="11"/>
    </row>
    <row r="22">
      <c r="I22" s="11"/>
    </row>
    <row r="23">
      <c r="I23" s="11"/>
    </row>
    <row r="24">
      <c r="I24" s="11"/>
    </row>
    <row r="25">
      <c r="I25" s="11"/>
    </row>
    <row r="26">
      <c r="I26" s="11"/>
    </row>
    <row r="27">
      <c r="I27" s="11"/>
    </row>
    <row r="28">
      <c r="I28" s="11"/>
    </row>
    <row r="29">
      <c r="I29" s="11"/>
    </row>
    <row r="30">
      <c r="I30" s="11"/>
    </row>
    <row r="31">
      <c r="I31" s="11"/>
    </row>
    <row r="32">
      <c r="I32" s="11"/>
    </row>
    <row r="33">
      <c r="I33" s="11"/>
    </row>
    <row r="34">
      <c r="I34" s="11"/>
    </row>
    <row r="35">
      <c r="I35" s="11"/>
    </row>
    <row r="36">
      <c r="I36" s="11"/>
    </row>
    <row r="37">
      <c r="I37" s="11"/>
    </row>
    <row r="38">
      <c r="I38" s="11"/>
    </row>
    <row r="39">
      <c r="I39" s="11"/>
    </row>
    <row r="40">
      <c r="I40" s="11"/>
    </row>
    <row r="41">
      <c r="I41" s="11"/>
    </row>
    <row r="42">
      <c r="I42" s="11"/>
    </row>
    <row r="43">
      <c r="I43" s="11"/>
    </row>
    <row r="44">
      <c r="I44" s="11"/>
    </row>
    <row r="45">
      <c r="I45" s="11"/>
    </row>
    <row r="46">
      <c r="I46" s="11"/>
    </row>
    <row r="47">
      <c r="I47" s="11"/>
    </row>
    <row r="48">
      <c r="I48" s="11"/>
    </row>
    <row r="49">
      <c r="I49" s="11"/>
    </row>
    <row r="50">
      <c r="I50" s="11"/>
    </row>
    <row r="51">
      <c r="I51" s="11"/>
    </row>
    <row r="52">
      <c r="I52" s="11"/>
    </row>
    <row r="53">
      <c r="I53" s="11"/>
    </row>
    <row r="54">
      <c r="I54" s="11"/>
    </row>
    <row r="55">
      <c r="I55" s="11"/>
    </row>
    <row r="56">
      <c r="I56" s="11"/>
    </row>
    <row r="57">
      <c r="I57" s="11"/>
    </row>
    <row r="58">
      <c r="I58" s="11"/>
    </row>
    <row r="59">
      <c r="I59" s="11"/>
    </row>
    <row r="60">
      <c r="I60" s="11"/>
    </row>
    <row r="61">
      <c r="I61" s="11"/>
    </row>
    <row r="62">
      <c r="I62" s="11"/>
    </row>
    <row r="63">
      <c r="I63" s="11"/>
    </row>
    <row r="64">
      <c r="I64" s="11"/>
    </row>
    <row r="65">
      <c r="I65" s="11"/>
    </row>
    <row r="66">
      <c r="I66" s="11"/>
    </row>
    <row r="67">
      <c r="I67" s="11"/>
    </row>
    <row r="68">
      <c r="I68" s="11"/>
    </row>
    <row r="69">
      <c r="I69" s="11"/>
    </row>
    <row r="70">
      <c r="I70" s="11"/>
    </row>
    <row r="71">
      <c r="I71" s="11"/>
    </row>
    <row r="72">
      <c r="I72" s="11"/>
    </row>
    <row r="73">
      <c r="I73" s="11"/>
    </row>
    <row r="74">
      <c r="I74" s="11"/>
    </row>
    <row r="75">
      <c r="I75" s="11"/>
    </row>
    <row r="76">
      <c r="I76" s="11"/>
    </row>
    <row r="77">
      <c r="I77" s="11"/>
    </row>
    <row r="78">
      <c r="I78" s="11"/>
    </row>
    <row r="79">
      <c r="I79" s="11"/>
    </row>
    <row r="80">
      <c r="I80" s="11"/>
    </row>
    <row r="81">
      <c r="I81" s="11"/>
    </row>
    <row r="82">
      <c r="I82" s="11"/>
    </row>
    <row r="83">
      <c r="I83" s="11"/>
    </row>
    <row r="84">
      <c r="I84" s="11"/>
    </row>
    <row r="85">
      <c r="I85" s="11"/>
    </row>
    <row r="86">
      <c r="I86" s="11"/>
    </row>
    <row r="87">
      <c r="I87" s="11"/>
    </row>
    <row r="88">
      <c r="I88" s="11"/>
    </row>
    <row r="89">
      <c r="I89" s="11"/>
    </row>
    <row r="90">
      <c r="I90" s="11"/>
    </row>
    <row r="91">
      <c r="I91" s="11"/>
    </row>
    <row r="92">
      <c r="I92" s="11"/>
    </row>
    <row r="93">
      <c r="I93" s="11"/>
    </row>
    <row r="94">
      <c r="I94" s="11"/>
    </row>
    <row r="95">
      <c r="I95" s="11"/>
    </row>
    <row r="96">
      <c r="I96" s="11"/>
    </row>
    <row r="97">
      <c r="I97" s="11"/>
    </row>
    <row r="98">
      <c r="I98" s="11"/>
    </row>
    <row r="99">
      <c r="I99" s="11"/>
    </row>
    <row r="100">
      <c r="I100" s="11"/>
    </row>
    <row r="101">
      <c r="I101" s="11"/>
    </row>
    <row r="102">
      <c r="I102" s="11"/>
    </row>
    <row r="103">
      <c r="I103" s="11"/>
    </row>
    <row r="104">
      <c r="I104" s="11"/>
    </row>
    <row r="105">
      <c r="I105" s="11"/>
    </row>
    <row r="106">
      <c r="I106" s="11"/>
    </row>
    <row r="107">
      <c r="I107" s="11"/>
    </row>
    <row r="108">
      <c r="I108" s="11"/>
    </row>
    <row r="109">
      <c r="I109" s="11"/>
    </row>
    <row r="110">
      <c r="I110" s="11"/>
    </row>
    <row r="111">
      <c r="I111" s="11"/>
    </row>
    <row r="112">
      <c r="I112" s="11"/>
    </row>
    <row r="113">
      <c r="I113" s="11"/>
    </row>
    <row r="114">
      <c r="I114" s="11"/>
    </row>
    <row r="115">
      <c r="I115" s="11"/>
    </row>
    <row r="116">
      <c r="I116" s="11"/>
    </row>
    <row r="117">
      <c r="I117" s="11"/>
    </row>
    <row r="118">
      <c r="I118" s="11"/>
    </row>
    <row r="119">
      <c r="I119" s="11"/>
    </row>
    <row r="120">
      <c r="I120" s="11"/>
    </row>
    <row r="121">
      <c r="I121" s="11"/>
    </row>
    <row r="122">
      <c r="I122" s="11"/>
    </row>
    <row r="123">
      <c r="I123" s="11"/>
    </row>
    <row r="124">
      <c r="I124" s="11"/>
    </row>
    <row r="125">
      <c r="I125" s="11"/>
    </row>
    <row r="126">
      <c r="I126" s="11"/>
    </row>
    <row r="127">
      <c r="I127" s="11"/>
    </row>
    <row r="128">
      <c r="I128" s="11"/>
    </row>
    <row r="129">
      <c r="I129" s="11"/>
    </row>
    <row r="130">
      <c r="I130" s="11"/>
    </row>
    <row r="131">
      <c r="I131" s="11"/>
    </row>
    <row r="132">
      <c r="I132" s="11"/>
    </row>
    <row r="133">
      <c r="I133" s="11"/>
    </row>
    <row r="134">
      <c r="I134" s="11"/>
    </row>
    <row r="135">
      <c r="I135" s="11"/>
    </row>
    <row r="136">
      <c r="I136" s="11"/>
    </row>
    <row r="137">
      <c r="I137" s="11"/>
    </row>
    <row r="138">
      <c r="I138" s="11"/>
    </row>
    <row r="139">
      <c r="I139" s="11"/>
    </row>
    <row r="140">
      <c r="I140" s="11"/>
    </row>
    <row r="141">
      <c r="I141" s="11"/>
    </row>
    <row r="142">
      <c r="I142" s="11"/>
    </row>
    <row r="143">
      <c r="I143" s="11"/>
    </row>
    <row r="144">
      <c r="I144" s="11"/>
    </row>
    <row r="145">
      <c r="I145" s="11"/>
    </row>
    <row r="146">
      <c r="I146" s="11"/>
    </row>
    <row r="147">
      <c r="I147" s="11"/>
    </row>
    <row r="148">
      <c r="I148" s="11"/>
    </row>
    <row r="149">
      <c r="I149" s="11"/>
    </row>
    <row r="150">
      <c r="I150" s="11"/>
    </row>
    <row r="151">
      <c r="I151" s="11"/>
    </row>
    <row r="152">
      <c r="I152" s="11"/>
    </row>
    <row r="153">
      <c r="I153" s="11"/>
    </row>
    <row r="154">
      <c r="I154" s="11"/>
    </row>
    <row r="155">
      <c r="I155" s="11"/>
    </row>
    <row r="156">
      <c r="I156" s="11"/>
    </row>
    <row r="157">
      <c r="I157" s="11"/>
    </row>
    <row r="158">
      <c r="I158" s="11"/>
    </row>
    <row r="159">
      <c r="I159" s="11"/>
    </row>
    <row r="160">
      <c r="I160" s="11"/>
    </row>
    <row r="161">
      <c r="I161" s="11"/>
    </row>
    <row r="162">
      <c r="I162" s="11"/>
    </row>
    <row r="163">
      <c r="I163" s="11"/>
    </row>
    <row r="164">
      <c r="I164" s="11"/>
    </row>
    <row r="165">
      <c r="I165" s="11"/>
    </row>
    <row r="166">
      <c r="I166" s="11"/>
    </row>
    <row r="167">
      <c r="I167" s="11"/>
    </row>
    <row r="168">
      <c r="I168" s="11"/>
    </row>
    <row r="169">
      <c r="I169" s="11"/>
    </row>
    <row r="170">
      <c r="I170" s="11"/>
    </row>
    <row r="171">
      <c r="I171" s="11"/>
    </row>
    <row r="172">
      <c r="I172" s="11"/>
    </row>
    <row r="173">
      <c r="I173" s="11"/>
    </row>
    <row r="174">
      <c r="I174" s="11"/>
    </row>
    <row r="175">
      <c r="I175" s="11"/>
    </row>
    <row r="176">
      <c r="I176" s="11"/>
    </row>
    <row r="177">
      <c r="I177" s="11"/>
    </row>
    <row r="178">
      <c r="I178" s="11"/>
    </row>
    <row r="179">
      <c r="I179" s="11"/>
    </row>
    <row r="180">
      <c r="I180" s="11"/>
    </row>
    <row r="181">
      <c r="I181" s="11"/>
    </row>
    <row r="182">
      <c r="I182" s="11"/>
    </row>
    <row r="183">
      <c r="I183" s="11"/>
    </row>
    <row r="184">
      <c r="I184" s="11"/>
    </row>
    <row r="185">
      <c r="I185" s="11"/>
    </row>
    <row r="186">
      <c r="I186" s="11"/>
    </row>
    <row r="187">
      <c r="I187" s="11"/>
    </row>
    <row r="188">
      <c r="I188" s="11"/>
    </row>
    <row r="189">
      <c r="I189" s="11"/>
    </row>
    <row r="190">
      <c r="I190" s="11"/>
    </row>
    <row r="191">
      <c r="I191" s="11"/>
    </row>
    <row r="192">
      <c r="I192" s="11"/>
    </row>
    <row r="193">
      <c r="I193" s="11"/>
    </row>
    <row r="194">
      <c r="I194" s="11"/>
    </row>
    <row r="195">
      <c r="I195" s="11"/>
    </row>
    <row r="196">
      <c r="I196" s="11"/>
    </row>
    <row r="197">
      <c r="I197" s="11"/>
    </row>
    <row r="198">
      <c r="I198" s="11"/>
    </row>
    <row r="199">
      <c r="I199" s="11"/>
    </row>
    <row r="200">
      <c r="I200" s="11"/>
    </row>
    <row r="201">
      <c r="I201" s="11"/>
    </row>
    <row r="202">
      <c r="I202" s="11"/>
    </row>
    <row r="203">
      <c r="I203" s="11"/>
    </row>
    <row r="204">
      <c r="I204" s="11"/>
    </row>
    <row r="205">
      <c r="I205" s="11"/>
    </row>
    <row r="206">
      <c r="I206" s="11"/>
    </row>
    <row r="207">
      <c r="I207" s="11"/>
    </row>
    <row r="208">
      <c r="I208" s="11"/>
    </row>
    <row r="209">
      <c r="I209" s="11"/>
    </row>
    <row r="210">
      <c r="I210" s="11"/>
    </row>
    <row r="211">
      <c r="I211" s="11"/>
    </row>
    <row r="212">
      <c r="I212" s="11"/>
    </row>
    <row r="213">
      <c r="I213" s="11"/>
    </row>
    <row r="214">
      <c r="I214" s="11"/>
    </row>
    <row r="215">
      <c r="I215" s="11"/>
    </row>
    <row r="216">
      <c r="I216" s="11"/>
    </row>
    <row r="217">
      <c r="I217" s="11"/>
    </row>
    <row r="218">
      <c r="I218" s="11"/>
    </row>
    <row r="219">
      <c r="I219" s="11"/>
    </row>
    <row r="220">
      <c r="I220" s="11"/>
    </row>
    <row r="221">
      <c r="I221" s="11"/>
    </row>
    <row r="222">
      <c r="I222" s="11"/>
    </row>
    <row r="223">
      <c r="I223" s="11"/>
    </row>
    <row r="224">
      <c r="I224" s="11"/>
    </row>
    <row r="225">
      <c r="I225" s="11"/>
    </row>
    <row r="226">
      <c r="I226" s="11"/>
    </row>
    <row r="227">
      <c r="I227" s="11"/>
    </row>
    <row r="228">
      <c r="I228" s="11"/>
    </row>
    <row r="229">
      <c r="I229" s="11"/>
    </row>
    <row r="230">
      <c r="I230" s="11"/>
    </row>
    <row r="231">
      <c r="I231" s="11"/>
    </row>
    <row r="232">
      <c r="I232" s="11"/>
    </row>
    <row r="233">
      <c r="I233" s="11"/>
    </row>
    <row r="234">
      <c r="I234" s="11"/>
    </row>
    <row r="235">
      <c r="I235" s="11"/>
    </row>
    <row r="236">
      <c r="I236" s="11"/>
    </row>
    <row r="237">
      <c r="I237" s="11"/>
    </row>
    <row r="238">
      <c r="I238" s="11"/>
    </row>
    <row r="239">
      <c r="I239" s="11"/>
    </row>
    <row r="240">
      <c r="I240" s="11"/>
    </row>
    <row r="241">
      <c r="I241" s="11"/>
    </row>
    <row r="242">
      <c r="I242" s="11"/>
    </row>
    <row r="243">
      <c r="I243" s="11"/>
    </row>
    <row r="244">
      <c r="I244" s="11"/>
    </row>
    <row r="245">
      <c r="I245" s="11"/>
    </row>
    <row r="246">
      <c r="I246" s="11"/>
    </row>
    <row r="247">
      <c r="I247" s="11"/>
    </row>
    <row r="248">
      <c r="I248" s="11"/>
    </row>
    <row r="249">
      <c r="I249" s="11"/>
    </row>
    <row r="250">
      <c r="I250" s="11"/>
    </row>
    <row r="251">
      <c r="I251" s="11"/>
    </row>
    <row r="252">
      <c r="I252" s="11"/>
    </row>
    <row r="253">
      <c r="I253" s="11"/>
    </row>
    <row r="254">
      <c r="I254" s="11"/>
    </row>
    <row r="255">
      <c r="I255" s="11"/>
    </row>
    <row r="256">
      <c r="I256" s="11"/>
    </row>
    <row r="257">
      <c r="I257" s="11"/>
    </row>
    <row r="258">
      <c r="I258" s="11"/>
    </row>
    <row r="259">
      <c r="I259" s="11"/>
    </row>
    <row r="260">
      <c r="I260" s="11"/>
    </row>
    <row r="261">
      <c r="I261" s="11"/>
    </row>
    <row r="262">
      <c r="I262" s="11"/>
    </row>
    <row r="263">
      <c r="I263" s="11"/>
    </row>
    <row r="264">
      <c r="I264" s="11"/>
    </row>
    <row r="265">
      <c r="I265" s="11"/>
    </row>
    <row r="266">
      <c r="I266" s="11"/>
    </row>
    <row r="267">
      <c r="I267" s="11"/>
    </row>
    <row r="268">
      <c r="I268" s="11"/>
    </row>
    <row r="269">
      <c r="I269" s="11"/>
    </row>
    <row r="270">
      <c r="I270" s="11"/>
    </row>
    <row r="271">
      <c r="I271" s="11"/>
    </row>
    <row r="272">
      <c r="I272" s="11"/>
    </row>
    <row r="273">
      <c r="I273" s="11"/>
    </row>
    <row r="274">
      <c r="I274" s="11"/>
    </row>
    <row r="275">
      <c r="I275" s="11"/>
    </row>
    <row r="276">
      <c r="I276" s="11"/>
    </row>
    <row r="277">
      <c r="I277" s="11"/>
    </row>
    <row r="278">
      <c r="I278" s="11"/>
    </row>
    <row r="279">
      <c r="I279" s="11"/>
    </row>
    <row r="280">
      <c r="I280" s="11"/>
    </row>
    <row r="281">
      <c r="I281" s="11"/>
    </row>
    <row r="282">
      <c r="I282" s="11"/>
    </row>
    <row r="283">
      <c r="I283" s="11"/>
    </row>
    <row r="284">
      <c r="I284" s="11"/>
    </row>
    <row r="285">
      <c r="I285" s="11"/>
    </row>
    <row r="286">
      <c r="I286" s="11"/>
    </row>
    <row r="287">
      <c r="I287" s="11"/>
    </row>
    <row r="288">
      <c r="I288" s="11"/>
    </row>
    <row r="289">
      <c r="I289" s="11"/>
    </row>
    <row r="290">
      <c r="I290" s="11"/>
    </row>
    <row r="291">
      <c r="I291" s="11"/>
    </row>
    <row r="292">
      <c r="I292" s="11"/>
    </row>
    <row r="293">
      <c r="I293" s="11"/>
    </row>
    <row r="294">
      <c r="I294" s="11"/>
    </row>
    <row r="295">
      <c r="I295" s="11"/>
    </row>
    <row r="296">
      <c r="I296" s="11"/>
    </row>
    <row r="297">
      <c r="I297" s="11"/>
    </row>
    <row r="298">
      <c r="I298" s="11"/>
    </row>
    <row r="299">
      <c r="I299" s="11"/>
    </row>
    <row r="300">
      <c r="I300" s="11"/>
    </row>
    <row r="301">
      <c r="I301" s="11"/>
    </row>
    <row r="302">
      <c r="I302" s="11"/>
    </row>
    <row r="303">
      <c r="I303" s="11"/>
    </row>
    <row r="304">
      <c r="I304" s="11"/>
    </row>
    <row r="305">
      <c r="I305" s="11"/>
    </row>
    <row r="306">
      <c r="I306" s="11"/>
    </row>
    <row r="307">
      <c r="I307" s="11"/>
    </row>
    <row r="308">
      <c r="I308" s="11"/>
    </row>
    <row r="309">
      <c r="I309" s="11"/>
    </row>
    <row r="310">
      <c r="I310" s="11"/>
    </row>
    <row r="311">
      <c r="I311" s="11"/>
    </row>
    <row r="312">
      <c r="I312" s="11"/>
    </row>
    <row r="313">
      <c r="I313" s="11"/>
    </row>
    <row r="314">
      <c r="I314" s="11"/>
    </row>
    <row r="315">
      <c r="I315" s="11"/>
    </row>
    <row r="316">
      <c r="I316" s="11"/>
    </row>
    <row r="317">
      <c r="I317" s="11"/>
    </row>
    <row r="318">
      <c r="I318" s="11"/>
    </row>
    <row r="319">
      <c r="I319" s="11"/>
    </row>
    <row r="320">
      <c r="I320" s="11"/>
    </row>
    <row r="321">
      <c r="I321" s="11"/>
    </row>
    <row r="322">
      <c r="I322" s="11"/>
    </row>
    <row r="323">
      <c r="I323" s="11"/>
    </row>
    <row r="324">
      <c r="I324" s="11"/>
    </row>
    <row r="325">
      <c r="I325" s="11"/>
    </row>
    <row r="326">
      <c r="I326" s="11"/>
    </row>
    <row r="327">
      <c r="I327" s="11"/>
    </row>
    <row r="328">
      <c r="I328" s="11"/>
    </row>
    <row r="329">
      <c r="I329" s="11"/>
    </row>
    <row r="330">
      <c r="I330" s="11"/>
    </row>
    <row r="331">
      <c r="I331" s="11"/>
    </row>
    <row r="332">
      <c r="I332" s="11"/>
    </row>
    <row r="333">
      <c r="I333" s="11"/>
    </row>
    <row r="334">
      <c r="I334" s="11"/>
    </row>
    <row r="335">
      <c r="I335" s="11"/>
    </row>
    <row r="336">
      <c r="I336" s="11"/>
    </row>
    <row r="337">
      <c r="I337" s="11"/>
    </row>
    <row r="338">
      <c r="I338" s="11"/>
    </row>
    <row r="339">
      <c r="I339" s="11"/>
    </row>
    <row r="340">
      <c r="I340" s="11"/>
    </row>
    <row r="341">
      <c r="I341" s="11"/>
    </row>
    <row r="342">
      <c r="I342" s="11"/>
    </row>
    <row r="343">
      <c r="I343" s="11"/>
    </row>
    <row r="344">
      <c r="I344" s="11"/>
    </row>
    <row r="345">
      <c r="I345" s="11"/>
    </row>
    <row r="346">
      <c r="I346" s="11"/>
    </row>
    <row r="347">
      <c r="I347" s="11"/>
    </row>
    <row r="348">
      <c r="I348" s="11"/>
    </row>
    <row r="349">
      <c r="I349" s="11"/>
    </row>
    <row r="350">
      <c r="I350" s="11"/>
    </row>
    <row r="351">
      <c r="I351" s="11"/>
    </row>
    <row r="352">
      <c r="I352" s="11"/>
    </row>
    <row r="353">
      <c r="I353" s="11"/>
    </row>
    <row r="354">
      <c r="I354" s="11"/>
    </row>
    <row r="355">
      <c r="I355" s="11"/>
    </row>
    <row r="356">
      <c r="I356" s="11"/>
    </row>
    <row r="357">
      <c r="I357" s="11"/>
    </row>
    <row r="358">
      <c r="I358" s="11"/>
    </row>
    <row r="359">
      <c r="I359" s="11"/>
    </row>
    <row r="360">
      <c r="I360" s="11"/>
    </row>
    <row r="361">
      <c r="I361" s="11"/>
    </row>
    <row r="362">
      <c r="I362" s="11"/>
    </row>
    <row r="363">
      <c r="I363" s="11"/>
    </row>
    <row r="364">
      <c r="I364" s="11"/>
    </row>
    <row r="365">
      <c r="I365" s="11"/>
    </row>
    <row r="366">
      <c r="I366" s="11"/>
    </row>
    <row r="367">
      <c r="I367" s="11"/>
    </row>
    <row r="368">
      <c r="I368" s="11"/>
    </row>
    <row r="369">
      <c r="I369" s="11"/>
    </row>
    <row r="370">
      <c r="I370" s="11"/>
    </row>
    <row r="371">
      <c r="I371" s="11"/>
    </row>
    <row r="372">
      <c r="I372" s="11"/>
    </row>
    <row r="373">
      <c r="I373" s="11"/>
    </row>
    <row r="374">
      <c r="I374" s="11"/>
    </row>
    <row r="375">
      <c r="I375" s="11"/>
    </row>
    <row r="376">
      <c r="I376" s="11"/>
    </row>
    <row r="377">
      <c r="I377" s="11"/>
    </row>
    <row r="378">
      <c r="I378" s="11"/>
    </row>
    <row r="379">
      <c r="I379" s="11"/>
    </row>
    <row r="380">
      <c r="I380" s="11"/>
    </row>
    <row r="381">
      <c r="I381" s="11"/>
    </row>
    <row r="382">
      <c r="I382" s="11"/>
    </row>
    <row r="383">
      <c r="I383" s="11"/>
    </row>
    <row r="384">
      <c r="I384" s="11"/>
    </row>
    <row r="385">
      <c r="I385" s="11"/>
    </row>
    <row r="386">
      <c r="I386" s="11"/>
    </row>
    <row r="387">
      <c r="I387" s="11"/>
    </row>
    <row r="388">
      <c r="I388" s="11"/>
    </row>
    <row r="389">
      <c r="I389" s="11"/>
    </row>
    <row r="390">
      <c r="I390" s="11"/>
    </row>
    <row r="391">
      <c r="I391" s="11"/>
    </row>
    <row r="392">
      <c r="I392" s="11"/>
    </row>
    <row r="393">
      <c r="I393" s="11"/>
    </row>
    <row r="394">
      <c r="I394" s="11"/>
    </row>
    <row r="395">
      <c r="I395" s="11"/>
    </row>
    <row r="396">
      <c r="I396" s="11"/>
    </row>
    <row r="397">
      <c r="I397" s="11"/>
    </row>
    <row r="398">
      <c r="I398" s="11"/>
    </row>
    <row r="399">
      <c r="I399" s="11"/>
    </row>
    <row r="400">
      <c r="I400" s="11"/>
    </row>
    <row r="401">
      <c r="I401" s="11"/>
    </row>
    <row r="402">
      <c r="I402" s="11"/>
    </row>
    <row r="403">
      <c r="I403" s="11"/>
    </row>
    <row r="404">
      <c r="I404" s="11"/>
    </row>
    <row r="405">
      <c r="I405" s="11"/>
    </row>
    <row r="406">
      <c r="I406" s="11"/>
    </row>
    <row r="407">
      <c r="I407" s="11"/>
    </row>
    <row r="408">
      <c r="I408" s="11"/>
    </row>
    <row r="409">
      <c r="I409" s="11"/>
    </row>
    <row r="410">
      <c r="I410" s="11"/>
    </row>
    <row r="411">
      <c r="I411" s="11"/>
    </row>
    <row r="412">
      <c r="I412" s="11"/>
    </row>
    <row r="413">
      <c r="I413" s="11"/>
    </row>
    <row r="414">
      <c r="I414" s="11"/>
    </row>
    <row r="415">
      <c r="I415" s="11"/>
    </row>
    <row r="416">
      <c r="I416" s="11"/>
    </row>
    <row r="417">
      <c r="I417" s="11"/>
    </row>
    <row r="418">
      <c r="I418" s="11"/>
    </row>
    <row r="419">
      <c r="I419" s="11"/>
    </row>
    <row r="420">
      <c r="I420" s="11"/>
    </row>
    <row r="421">
      <c r="I421" s="11"/>
    </row>
    <row r="422">
      <c r="I422" s="11"/>
    </row>
    <row r="423">
      <c r="I423" s="11"/>
    </row>
    <row r="424">
      <c r="I424" s="11"/>
    </row>
    <row r="425">
      <c r="I425" s="11"/>
    </row>
    <row r="426">
      <c r="I426" s="11"/>
    </row>
    <row r="427">
      <c r="I427" s="11"/>
    </row>
    <row r="428">
      <c r="I428" s="11"/>
    </row>
    <row r="429">
      <c r="I429" s="11"/>
    </row>
    <row r="430">
      <c r="I430" s="11"/>
    </row>
    <row r="431">
      <c r="I431" s="11"/>
    </row>
    <row r="432">
      <c r="I432" s="11"/>
    </row>
    <row r="433">
      <c r="I433" s="11"/>
    </row>
    <row r="434">
      <c r="I434" s="11"/>
    </row>
    <row r="435">
      <c r="I435" s="11"/>
    </row>
    <row r="436">
      <c r="I436" s="11"/>
    </row>
    <row r="437">
      <c r="I437" s="11"/>
    </row>
    <row r="438">
      <c r="I438" s="11"/>
    </row>
    <row r="439">
      <c r="I439" s="11"/>
    </row>
    <row r="440">
      <c r="I440" s="11"/>
    </row>
    <row r="441">
      <c r="I441" s="11"/>
    </row>
    <row r="442">
      <c r="I442" s="11"/>
    </row>
    <row r="443">
      <c r="I443" s="11"/>
    </row>
    <row r="444">
      <c r="I444" s="11"/>
    </row>
    <row r="445">
      <c r="I445" s="11"/>
    </row>
    <row r="446">
      <c r="I446" s="11"/>
    </row>
    <row r="447">
      <c r="I447" s="11"/>
    </row>
    <row r="448">
      <c r="I448" s="11"/>
    </row>
    <row r="449">
      <c r="I449" s="11"/>
    </row>
    <row r="450">
      <c r="I450" s="11"/>
    </row>
    <row r="451">
      <c r="I451" s="11"/>
    </row>
    <row r="452">
      <c r="I452" s="11"/>
    </row>
    <row r="453">
      <c r="I453" s="11"/>
    </row>
    <row r="454">
      <c r="I454" s="11"/>
    </row>
    <row r="455">
      <c r="I455" s="11"/>
    </row>
    <row r="456">
      <c r="I456" s="11"/>
    </row>
    <row r="457">
      <c r="I457" s="11"/>
    </row>
    <row r="458">
      <c r="I458" s="11"/>
    </row>
    <row r="459">
      <c r="I459" s="11"/>
    </row>
    <row r="460">
      <c r="I460" s="11"/>
    </row>
    <row r="461">
      <c r="I461" s="11"/>
    </row>
    <row r="462">
      <c r="I462" s="11"/>
    </row>
    <row r="463">
      <c r="I463" s="11"/>
    </row>
    <row r="464">
      <c r="I464" s="11"/>
    </row>
    <row r="465">
      <c r="I465" s="11"/>
    </row>
    <row r="466">
      <c r="I466" s="11"/>
    </row>
    <row r="467">
      <c r="I467" s="11"/>
    </row>
    <row r="468">
      <c r="I468" s="11"/>
    </row>
    <row r="469">
      <c r="I469" s="11"/>
    </row>
    <row r="470">
      <c r="I470" s="11"/>
    </row>
    <row r="471">
      <c r="I471" s="11"/>
    </row>
    <row r="472">
      <c r="I472" s="11"/>
    </row>
    <row r="473">
      <c r="I473" s="11"/>
    </row>
    <row r="474">
      <c r="I474" s="11"/>
    </row>
    <row r="475">
      <c r="I475" s="11"/>
    </row>
    <row r="476">
      <c r="I476" s="11"/>
    </row>
    <row r="477">
      <c r="I477" s="11"/>
    </row>
    <row r="478">
      <c r="I478" s="11"/>
    </row>
    <row r="479">
      <c r="I479" s="11"/>
    </row>
    <row r="480">
      <c r="I480" s="11"/>
    </row>
    <row r="481">
      <c r="I481" s="11"/>
    </row>
    <row r="482">
      <c r="I482" s="11"/>
    </row>
    <row r="483">
      <c r="I483" s="11"/>
    </row>
    <row r="484">
      <c r="I484" s="11"/>
    </row>
    <row r="485">
      <c r="I485" s="11"/>
    </row>
    <row r="486">
      <c r="I486" s="11"/>
    </row>
    <row r="487">
      <c r="I487" s="11"/>
    </row>
    <row r="488">
      <c r="I488" s="11"/>
    </row>
    <row r="489">
      <c r="I489" s="11"/>
    </row>
    <row r="490">
      <c r="I490" s="11"/>
    </row>
    <row r="491">
      <c r="I491" s="11"/>
    </row>
    <row r="492">
      <c r="I492" s="11"/>
    </row>
    <row r="493">
      <c r="I493" s="11"/>
    </row>
    <row r="494">
      <c r="I494" s="11"/>
    </row>
    <row r="495">
      <c r="I495" s="11"/>
    </row>
    <row r="496">
      <c r="I496" s="11"/>
    </row>
    <row r="497">
      <c r="I497" s="11"/>
    </row>
    <row r="498">
      <c r="I498" s="11"/>
    </row>
    <row r="499">
      <c r="I499" s="11"/>
    </row>
    <row r="500">
      <c r="I500" s="11"/>
    </row>
    <row r="501">
      <c r="I501" s="11"/>
    </row>
    <row r="502">
      <c r="I502" s="11"/>
    </row>
    <row r="503">
      <c r="I503" s="11"/>
    </row>
    <row r="504">
      <c r="I504" s="11"/>
    </row>
    <row r="505">
      <c r="I505" s="11"/>
    </row>
    <row r="506">
      <c r="I506" s="11"/>
    </row>
    <row r="507">
      <c r="I507" s="11"/>
    </row>
    <row r="508">
      <c r="I508" s="11"/>
    </row>
    <row r="509">
      <c r="I509" s="11"/>
    </row>
    <row r="510">
      <c r="I510" s="11"/>
    </row>
    <row r="511">
      <c r="I511" s="11"/>
    </row>
    <row r="512">
      <c r="I512" s="11"/>
    </row>
    <row r="513">
      <c r="I513" s="11"/>
    </row>
    <row r="514">
      <c r="I514" s="11"/>
    </row>
    <row r="515">
      <c r="I515" s="11"/>
    </row>
    <row r="516">
      <c r="I516" s="11"/>
    </row>
    <row r="517">
      <c r="I517" s="11"/>
    </row>
    <row r="518">
      <c r="I518" s="11"/>
    </row>
    <row r="519">
      <c r="I519" s="11"/>
    </row>
    <row r="520">
      <c r="I520" s="11"/>
    </row>
    <row r="521">
      <c r="I521" s="11"/>
    </row>
    <row r="522">
      <c r="I522" s="11"/>
    </row>
    <row r="523">
      <c r="I523" s="11"/>
    </row>
    <row r="524">
      <c r="I524" s="11"/>
    </row>
    <row r="525">
      <c r="I525" s="11"/>
    </row>
    <row r="526">
      <c r="I526" s="11"/>
    </row>
    <row r="527">
      <c r="I527" s="11"/>
    </row>
    <row r="528">
      <c r="I528" s="11"/>
    </row>
    <row r="529">
      <c r="I529" s="11"/>
    </row>
    <row r="530">
      <c r="I530" s="11"/>
    </row>
    <row r="531">
      <c r="I531" s="11"/>
    </row>
    <row r="532">
      <c r="I532" s="11"/>
    </row>
    <row r="533">
      <c r="I533" s="11"/>
    </row>
    <row r="534">
      <c r="I534" s="11"/>
    </row>
    <row r="535">
      <c r="I535" s="11"/>
    </row>
    <row r="536">
      <c r="I536" s="11"/>
    </row>
    <row r="537">
      <c r="I537" s="11"/>
    </row>
    <row r="538">
      <c r="I538" s="11"/>
    </row>
    <row r="539">
      <c r="I539" s="11"/>
    </row>
    <row r="540">
      <c r="I540" s="11"/>
    </row>
    <row r="541">
      <c r="I541" s="11"/>
    </row>
    <row r="542">
      <c r="I542" s="11"/>
    </row>
    <row r="543">
      <c r="I543" s="11"/>
    </row>
    <row r="544">
      <c r="I544" s="11"/>
    </row>
    <row r="545">
      <c r="I545" s="11"/>
    </row>
    <row r="546">
      <c r="I546" s="11"/>
    </row>
    <row r="547">
      <c r="I547" s="11"/>
    </row>
    <row r="548">
      <c r="I548" s="11"/>
    </row>
    <row r="549">
      <c r="I549" s="11"/>
    </row>
    <row r="550">
      <c r="I550" s="11"/>
    </row>
    <row r="551">
      <c r="I551" s="11"/>
    </row>
    <row r="552">
      <c r="I552" s="11"/>
    </row>
    <row r="553">
      <c r="I553" s="11"/>
    </row>
    <row r="554">
      <c r="I554" s="11"/>
    </row>
    <row r="555">
      <c r="I555" s="11"/>
    </row>
    <row r="556">
      <c r="I556" s="11"/>
    </row>
    <row r="557">
      <c r="I557" s="11"/>
    </row>
    <row r="558">
      <c r="I558" s="11"/>
    </row>
    <row r="559">
      <c r="I559" s="11"/>
    </row>
    <row r="560">
      <c r="I560" s="11"/>
    </row>
    <row r="561">
      <c r="I561" s="11"/>
    </row>
    <row r="562">
      <c r="I562" s="11"/>
    </row>
    <row r="563">
      <c r="I563" s="11"/>
    </row>
    <row r="564">
      <c r="I564" s="11"/>
    </row>
    <row r="565">
      <c r="I565" s="11"/>
    </row>
    <row r="566">
      <c r="I566" s="11"/>
    </row>
    <row r="567">
      <c r="I567" s="11"/>
    </row>
    <row r="568">
      <c r="I568" s="11"/>
    </row>
    <row r="569">
      <c r="I569" s="11"/>
    </row>
    <row r="570">
      <c r="I570" s="11"/>
    </row>
    <row r="571">
      <c r="I571" s="11"/>
    </row>
    <row r="572">
      <c r="I572" s="11"/>
    </row>
    <row r="573">
      <c r="I573" s="11"/>
    </row>
    <row r="574">
      <c r="I574" s="11"/>
    </row>
    <row r="575">
      <c r="I575" s="11"/>
    </row>
    <row r="576">
      <c r="I576" s="11"/>
    </row>
    <row r="577">
      <c r="I577" s="11"/>
    </row>
    <row r="578">
      <c r="I578" s="11"/>
    </row>
    <row r="579">
      <c r="I579" s="11"/>
    </row>
    <row r="580">
      <c r="I580" s="11"/>
    </row>
    <row r="581">
      <c r="I581" s="11"/>
    </row>
    <row r="582">
      <c r="I582" s="11"/>
    </row>
    <row r="583">
      <c r="I583" s="11"/>
    </row>
    <row r="584">
      <c r="I584" s="11"/>
    </row>
    <row r="585">
      <c r="I585" s="11"/>
    </row>
    <row r="586">
      <c r="I586" s="11"/>
    </row>
    <row r="587">
      <c r="I587" s="11"/>
    </row>
    <row r="588">
      <c r="I588" s="11"/>
    </row>
    <row r="589">
      <c r="I589" s="11"/>
    </row>
    <row r="590">
      <c r="I590" s="11"/>
    </row>
    <row r="591">
      <c r="I591" s="11"/>
    </row>
    <row r="592">
      <c r="I592" s="11"/>
    </row>
    <row r="593">
      <c r="I593" s="11"/>
    </row>
    <row r="594">
      <c r="I594" s="11"/>
    </row>
    <row r="595">
      <c r="I595" s="11"/>
    </row>
    <row r="596">
      <c r="I596" s="11"/>
    </row>
    <row r="597">
      <c r="I597" s="11"/>
    </row>
    <row r="598">
      <c r="I598" s="11"/>
    </row>
    <row r="599">
      <c r="I599" s="11"/>
    </row>
    <row r="600">
      <c r="I600" s="11"/>
    </row>
    <row r="601">
      <c r="I601" s="11"/>
    </row>
    <row r="602">
      <c r="I602" s="11"/>
    </row>
    <row r="603">
      <c r="I603" s="11"/>
    </row>
    <row r="604">
      <c r="I604" s="11"/>
    </row>
    <row r="605">
      <c r="I605" s="11"/>
    </row>
    <row r="606">
      <c r="I606" s="11"/>
    </row>
    <row r="607">
      <c r="I607" s="11"/>
    </row>
    <row r="608">
      <c r="I608" s="11"/>
    </row>
    <row r="609">
      <c r="I609" s="11"/>
    </row>
    <row r="610">
      <c r="I610" s="11"/>
    </row>
    <row r="611">
      <c r="I611" s="11"/>
    </row>
    <row r="612">
      <c r="I612" s="11"/>
    </row>
    <row r="613">
      <c r="I613" s="11"/>
    </row>
    <row r="614">
      <c r="I614" s="11"/>
    </row>
    <row r="615">
      <c r="I615" s="11"/>
    </row>
    <row r="616">
      <c r="I616" s="11"/>
    </row>
    <row r="617">
      <c r="I617" s="11"/>
    </row>
    <row r="618">
      <c r="I618" s="11"/>
    </row>
    <row r="619">
      <c r="I619" s="11"/>
    </row>
    <row r="620">
      <c r="I620" s="11"/>
    </row>
    <row r="621">
      <c r="I621" s="11"/>
    </row>
    <row r="622">
      <c r="I622" s="11"/>
    </row>
    <row r="623">
      <c r="I623" s="11"/>
    </row>
    <row r="624">
      <c r="I624" s="11"/>
    </row>
    <row r="625">
      <c r="I625" s="11"/>
    </row>
    <row r="626">
      <c r="I626" s="11"/>
    </row>
    <row r="627">
      <c r="I627" s="11"/>
    </row>
    <row r="628">
      <c r="I628" s="11"/>
    </row>
    <row r="629">
      <c r="I629" s="11"/>
    </row>
    <row r="630">
      <c r="I630" s="11"/>
    </row>
    <row r="631">
      <c r="I631" s="11"/>
    </row>
    <row r="632">
      <c r="I632" s="11"/>
    </row>
    <row r="633">
      <c r="I633" s="11"/>
    </row>
    <row r="634">
      <c r="I634" s="11"/>
    </row>
    <row r="635">
      <c r="I635" s="11"/>
    </row>
    <row r="636">
      <c r="I636" s="11"/>
    </row>
    <row r="637">
      <c r="I637" s="11"/>
    </row>
    <row r="638">
      <c r="I638" s="11"/>
    </row>
    <row r="639">
      <c r="I639" s="11"/>
    </row>
    <row r="640">
      <c r="I640" s="11"/>
    </row>
    <row r="641">
      <c r="I641" s="11"/>
    </row>
    <row r="642">
      <c r="I642" s="11"/>
    </row>
    <row r="643">
      <c r="I643" s="11"/>
    </row>
    <row r="644">
      <c r="I644" s="11"/>
    </row>
    <row r="645">
      <c r="I645" s="11"/>
    </row>
    <row r="646">
      <c r="I646" s="11"/>
    </row>
    <row r="647">
      <c r="I647" s="11"/>
    </row>
    <row r="648">
      <c r="I648" s="11"/>
    </row>
    <row r="649">
      <c r="I649" s="11"/>
    </row>
    <row r="650">
      <c r="I650" s="11"/>
    </row>
    <row r="651">
      <c r="I651" s="11"/>
    </row>
    <row r="652">
      <c r="I652" s="11"/>
    </row>
    <row r="653">
      <c r="I653" s="11"/>
    </row>
    <row r="654">
      <c r="I654" s="11"/>
    </row>
    <row r="655">
      <c r="I655" s="11"/>
    </row>
    <row r="656">
      <c r="I656" s="11"/>
    </row>
    <row r="657">
      <c r="I657" s="11"/>
    </row>
    <row r="658">
      <c r="I658" s="11"/>
    </row>
    <row r="659">
      <c r="I659" s="11"/>
    </row>
    <row r="660">
      <c r="I660" s="11"/>
    </row>
    <row r="661">
      <c r="I661" s="11"/>
    </row>
    <row r="662">
      <c r="I662" s="11"/>
    </row>
    <row r="663">
      <c r="I663" s="11"/>
    </row>
    <row r="664">
      <c r="I664" s="11"/>
    </row>
    <row r="665">
      <c r="I665" s="11"/>
    </row>
    <row r="666">
      <c r="I666" s="11"/>
    </row>
    <row r="667">
      <c r="I667" s="11"/>
    </row>
    <row r="668">
      <c r="I668" s="11"/>
    </row>
    <row r="669">
      <c r="I669" s="11"/>
    </row>
    <row r="670">
      <c r="I670" s="11"/>
    </row>
    <row r="671">
      <c r="I671" s="11"/>
    </row>
    <row r="672">
      <c r="I672" s="11"/>
    </row>
    <row r="673">
      <c r="I673" s="11"/>
    </row>
    <row r="674">
      <c r="I674" s="11"/>
    </row>
    <row r="675">
      <c r="I675" s="11"/>
    </row>
    <row r="676">
      <c r="I676" s="11"/>
    </row>
    <row r="677">
      <c r="I677" s="11"/>
    </row>
    <row r="678">
      <c r="I678" s="11"/>
    </row>
    <row r="679">
      <c r="I679" s="11"/>
    </row>
    <row r="680">
      <c r="I680" s="11"/>
    </row>
    <row r="681">
      <c r="I681" s="11"/>
    </row>
    <row r="682">
      <c r="I682" s="11"/>
    </row>
    <row r="683">
      <c r="I683" s="11"/>
    </row>
    <row r="684">
      <c r="I684" s="11"/>
    </row>
    <row r="685">
      <c r="I685" s="11"/>
    </row>
    <row r="686">
      <c r="I686" s="11"/>
    </row>
    <row r="687">
      <c r="I687" s="11"/>
    </row>
    <row r="688">
      <c r="I688" s="11"/>
    </row>
    <row r="689">
      <c r="I689" s="11"/>
    </row>
    <row r="690">
      <c r="I690" s="11"/>
    </row>
    <row r="691">
      <c r="I691" s="11"/>
    </row>
    <row r="692">
      <c r="I692" s="11"/>
    </row>
    <row r="693">
      <c r="I693" s="11"/>
    </row>
    <row r="694">
      <c r="I694" s="11"/>
    </row>
    <row r="695">
      <c r="I695" s="11"/>
    </row>
    <row r="696">
      <c r="I696" s="11"/>
    </row>
    <row r="697">
      <c r="I697" s="11"/>
    </row>
    <row r="698">
      <c r="I698" s="11"/>
    </row>
    <row r="699">
      <c r="I699" s="11"/>
    </row>
    <row r="700">
      <c r="I700" s="11"/>
    </row>
    <row r="701">
      <c r="I701" s="11"/>
    </row>
    <row r="702">
      <c r="I702" s="11"/>
    </row>
    <row r="703">
      <c r="I703" s="11"/>
    </row>
    <row r="704">
      <c r="I704" s="11"/>
    </row>
    <row r="705">
      <c r="I705" s="11"/>
    </row>
    <row r="706">
      <c r="I706" s="11"/>
    </row>
    <row r="707">
      <c r="I707" s="11"/>
    </row>
    <row r="708">
      <c r="I708" s="11"/>
    </row>
    <row r="709">
      <c r="I709" s="11"/>
    </row>
    <row r="710">
      <c r="I710" s="11"/>
    </row>
    <row r="711">
      <c r="I711" s="11"/>
    </row>
    <row r="712">
      <c r="I712" s="11"/>
    </row>
    <row r="713">
      <c r="I713" s="11"/>
    </row>
    <row r="714">
      <c r="I714" s="11"/>
    </row>
    <row r="715">
      <c r="I715" s="11"/>
    </row>
    <row r="716">
      <c r="I716" s="11"/>
    </row>
    <row r="717">
      <c r="I717" s="11"/>
    </row>
    <row r="718">
      <c r="I718" s="11"/>
    </row>
    <row r="719">
      <c r="I719" s="11"/>
    </row>
    <row r="720">
      <c r="I720" s="11"/>
    </row>
    <row r="721">
      <c r="I721" s="11"/>
    </row>
    <row r="722">
      <c r="I722" s="11"/>
    </row>
    <row r="723">
      <c r="I723" s="11"/>
    </row>
    <row r="724">
      <c r="I724" s="11"/>
    </row>
    <row r="725">
      <c r="I725" s="11"/>
    </row>
    <row r="726">
      <c r="I726" s="11"/>
    </row>
    <row r="727">
      <c r="I727" s="11"/>
    </row>
    <row r="728">
      <c r="I728" s="11"/>
    </row>
    <row r="729">
      <c r="I729" s="11"/>
    </row>
    <row r="730">
      <c r="I730" s="11"/>
    </row>
    <row r="731">
      <c r="I731" s="11"/>
    </row>
    <row r="732">
      <c r="I732" s="11"/>
    </row>
    <row r="733">
      <c r="I733" s="11"/>
    </row>
    <row r="734">
      <c r="I734" s="11"/>
    </row>
    <row r="735">
      <c r="I735" s="11"/>
    </row>
    <row r="736">
      <c r="I736" s="11"/>
    </row>
    <row r="737">
      <c r="I737" s="11"/>
    </row>
    <row r="738">
      <c r="I738" s="11"/>
    </row>
    <row r="739">
      <c r="I739" s="11"/>
    </row>
    <row r="740">
      <c r="I740" s="11"/>
    </row>
    <row r="741">
      <c r="I741" s="11"/>
    </row>
    <row r="742">
      <c r="I742" s="11"/>
    </row>
    <row r="743">
      <c r="I743" s="11"/>
    </row>
    <row r="744">
      <c r="I744" s="11"/>
    </row>
    <row r="745">
      <c r="I745" s="11"/>
    </row>
    <row r="746">
      <c r="I746" s="11"/>
    </row>
    <row r="747">
      <c r="I747" s="11"/>
    </row>
    <row r="748">
      <c r="I748" s="11"/>
    </row>
    <row r="749">
      <c r="I749" s="11"/>
    </row>
    <row r="750">
      <c r="I750" s="11"/>
    </row>
    <row r="751">
      <c r="I751" s="11"/>
    </row>
    <row r="752">
      <c r="I752" s="11"/>
    </row>
    <row r="753">
      <c r="I753" s="11"/>
    </row>
    <row r="754">
      <c r="I754" s="11"/>
    </row>
    <row r="755">
      <c r="I755" s="11"/>
    </row>
    <row r="756">
      <c r="I756" s="11"/>
    </row>
    <row r="757">
      <c r="I757" s="11"/>
    </row>
    <row r="758">
      <c r="I758" s="11"/>
    </row>
    <row r="759">
      <c r="I759" s="11"/>
    </row>
    <row r="760">
      <c r="I760" s="11"/>
    </row>
    <row r="761">
      <c r="I761" s="11"/>
    </row>
    <row r="762">
      <c r="I762" s="11"/>
    </row>
    <row r="763">
      <c r="I763" s="11"/>
    </row>
    <row r="764">
      <c r="I764" s="11"/>
    </row>
    <row r="765">
      <c r="I765" s="11"/>
    </row>
    <row r="766">
      <c r="I766" s="11"/>
    </row>
    <row r="767">
      <c r="I767" s="11"/>
    </row>
    <row r="768">
      <c r="I768" s="11"/>
    </row>
    <row r="769">
      <c r="I769" s="11"/>
    </row>
    <row r="770">
      <c r="I770" s="11"/>
    </row>
    <row r="771">
      <c r="I771" s="11"/>
    </row>
    <row r="772">
      <c r="I772" s="11"/>
    </row>
    <row r="773">
      <c r="I773" s="11"/>
    </row>
    <row r="774">
      <c r="I774" s="11"/>
    </row>
    <row r="775">
      <c r="I775" s="11"/>
    </row>
    <row r="776">
      <c r="I776" s="11"/>
    </row>
    <row r="777">
      <c r="I777" s="11"/>
    </row>
    <row r="778">
      <c r="I778" s="11"/>
    </row>
    <row r="779">
      <c r="I779" s="11"/>
    </row>
    <row r="780">
      <c r="I780" s="11"/>
    </row>
    <row r="781">
      <c r="I781" s="11"/>
    </row>
    <row r="782">
      <c r="I782" s="11"/>
    </row>
    <row r="783">
      <c r="I783" s="11"/>
    </row>
    <row r="784">
      <c r="I784" s="11"/>
    </row>
    <row r="785">
      <c r="I785" s="11"/>
    </row>
    <row r="786">
      <c r="I786" s="11"/>
    </row>
    <row r="787">
      <c r="I787" s="11"/>
    </row>
    <row r="788">
      <c r="I788" s="11"/>
    </row>
    <row r="789">
      <c r="I789" s="11"/>
    </row>
    <row r="790">
      <c r="I790" s="11"/>
    </row>
    <row r="791">
      <c r="I791" s="11"/>
    </row>
    <row r="792">
      <c r="I792" s="11"/>
    </row>
    <row r="793">
      <c r="I793" s="11"/>
    </row>
    <row r="794">
      <c r="I794" s="11"/>
    </row>
    <row r="795">
      <c r="I795" s="11"/>
    </row>
    <row r="796">
      <c r="I796" s="11"/>
    </row>
    <row r="797">
      <c r="I797" s="11"/>
    </row>
    <row r="798">
      <c r="I798" s="11"/>
    </row>
    <row r="799">
      <c r="I799" s="11"/>
    </row>
    <row r="800">
      <c r="I800" s="11"/>
    </row>
    <row r="801">
      <c r="I801" s="11"/>
    </row>
    <row r="802">
      <c r="I802" s="11"/>
    </row>
    <row r="803">
      <c r="I803" s="11"/>
    </row>
    <row r="804">
      <c r="I804" s="11"/>
    </row>
    <row r="805">
      <c r="I805" s="11"/>
    </row>
    <row r="806">
      <c r="I806" s="11"/>
    </row>
    <row r="807">
      <c r="I807" s="11"/>
    </row>
    <row r="808">
      <c r="I808" s="11"/>
    </row>
    <row r="809">
      <c r="I809" s="11"/>
    </row>
    <row r="810">
      <c r="I810" s="11"/>
    </row>
    <row r="811">
      <c r="I811" s="11"/>
    </row>
    <row r="812">
      <c r="I812" s="11"/>
    </row>
    <row r="813">
      <c r="I813" s="11"/>
    </row>
    <row r="814">
      <c r="I814" s="11"/>
    </row>
    <row r="815">
      <c r="I815" s="11"/>
    </row>
    <row r="816">
      <c r="I816" s="11"/>
    </row>
    <row r="817">
      <c r="I817" s="11"/>
    </row>
    <row r="818">
      <c r="I818" s="11"/>
    </row>
    <row r="819">
      <c r="I819" s="11"/>
    </row>
    <row r="820">
      <c r="I820" s="11"/>
    </row>
    <row r="821">
      <c r="I821" s="11"/>
    </row>
    <row r="822">
      <c r="I822" s="11"/>
    </row>
    <row r="823">
      <c r="I823" s="11"/>
    </row>
    <row r="824">
      <c r="I824" s="11"/>
    </row>
    <row r="825">
      <c r="I825" s="11"/>
    </row>
    <row r="826">
      <c r="I826" s="11"/>
    </row>
    <row r="827">
      <c r="I827" s="11"/>
    </row>
    <row r="828">
      <c r="I828" s="11"/>
    </row>
    <row r="829">
      <c r="I829" s="11"/>
    </row>
    <row r="830">
      <c r="I830" s="11"/>
    </row>
    <row r="831">
      <c r="I831" s="11"/>
    </row>
    <row r="832">
      <c r="I832" s="11"/>
    </row>
    <row r="833">
      <c r="I833" s="11"/>
    </row>
    <row r="834">
      <c r="I834" s="11"/>
    </row>
    <row r="835">
      <c r="I835" s="11"/>
    </row>
    <row r="836">
      <c r="I836" s="11"/>
    </row>
    <row r="837">
      <c r="I837" s="11"/>
    </row>
    <row r="838">
      <c r="I838" s="11"/>
    </row>
    <row r="839">
      <c r="I839" s="11"/>
    </row>
    <row r="840">
      <c r="I840" s="11"/>
    </row>
    <row r="841">
      <c r="I841" s="11"/>
    </row>
    <row r="842">
      <c r="I842" s="11"/>
    </row>
    <row r="843">
      <c r="I843" s="11"/>
    </row>
    <row r="844">
      <c r="I844" s="11"/>
    </row>
    <row r="845">
      <c r="I845" s="11"/>
    </row>
    <row r="846">
      <c r="I846" s="11"/>
    </row>
    <row r="847">
      <c r="I847" s="11"/>
    </row>
    <row r="848">
      <c r="I848" s="11"/>
    </row>
    <row r="849">
      <c r="I849" s="11"/>
    </row>
    <row r="850">
      <c r="I850" s="11"/>
    </row>
    <row r="851">
      <c r="I851" s="11"/>
    </row>
    <row r="852">
      <c r="I852" s="11"/>
    </row>
    <row r="853">
      <c r="I853" s="11"/>
    </row>
    <row r="854">
      <c r="I854" s="11"/>
    </row>
    <row r="855">
      <c r="I855" s="11"/>
    </row>
    <row r="856">
      <c r="I856" s="11"/>
    </row>
    <row r="857">
      <c r="I857" s="11"/>
    </row>
    <row r="858">
      <c r="I858" s="11"/>
    </row>
    <row r="859">
      <c r="I859" s="11"/>
    </row>
    <row r="860">
      <c r="I860" s="11"/>
    </row>
    <row r="861">
      <c r="I861" s="11"/>
    </row>
    <row r="862">
      <c r="I862" s="11"/>
    </row>
    <row r="863">
      <c r="I863" s="11"/>
    </row>
    <row r="864">
      <c r="I864" s="11"/>
    </row>
    <row r="865">
      <c r="I865" s="11"/>
    </row>
    <row r="866">
      <c r="I866" s="11"/>
    </row>
    <row r="867">
      <c r="I867" s="11"/>
    </row>
    <row r="868">
      <c r="I868" s="11"/>
    </row>
    <row r="869">
      <c r="I869" s="11"/>
    </row>
    <row r="870">
      <c r="I870" s="11"/>
    </row>
    <row r="871">
      <c r="I871" s="11"/>
    </row>
    <row r="872">
      <c r="I872" s="11"/>
    </row>
    <row r="873">
      <c r="I873" s="11"/>
    </row>
    <row r="874">
      <c r="I874" s="11"/>
    </row>
    <row r="875">
      <c r="I875" s="11"/>
    </row>
    <row r="876">
      <c r="I876" s="11"/>
    </row>
    <row r="877">
      <c r="I877" s="11"/>
    </row>
    <row r="878">
      <c r="I878" s="11"/>
    </row>
    <row r="879">
      <c r="I879" s="11"/>
    </row>
    <row r="880">
      <c r="I880" s="11"/>
    </row>
    <row r="881">
      <c r="I881" s="11"/>
    </row>
    <row r="882">
      <c r="I882" s="11"/>
    </row>
    <row r="883">
      <c r="I883" s="11"/>
    </row>
    <row r="884">
      <c r="I884" s="11"/>
    </row>
    <row r="885">
      <c r="I885" s="11"/>
    </row>
    <row r="886">
      <c r="I886" s="11"/>
    </row>
    <row r="887">
      <c r="I887" s="11"/>
    </row>
    <row r="888">
      <c r="I888" s="11"/>
    </row>
    <row r="889">
      <c r="I889" s="11"/>
    </row>
    <row r="890">
      <c r="I890" s="11"/>
    </row>
    <row r="891">
      <c r="I891" s="11"/>
    </row>
    <row r="892">
      <c r="I892" s="11"/>
    </row>
    <row r="893">
      <c r="I893" s="11"/>
    </row>
    <row r="894">
      <c r="I894" s="11"/>
    </row>
    <row r="895">
      <c r="I895" s="11"/>
    </row>
    <row r="896">
      <c r="I896" s="11"/>
    </row>
    <row r="897">
      <c r="I897" s="11"/>
    </row>
    <row r="898">
      <c r="I898" s="11"/>
    </row>
    <row r="899">
      <c r="I899" s="11"/>
    </row>
    <row r="900">
      <c r="I900" s="11"/>
    </row>
    <row r="901">
      <c r="I901" s="11"/>
    </row>
    <row r="902">
      <c r="I902" s="11"/>
    </row>
    <row r="903">
      <c r="I903" s="11"/>
    </row>
    <row r="904">
      <c r="I904" s="11"/>
    </row>
    <row r="905">
      <c r="I905" s="11"/>
    </row>
    <row r="906">
      <c r="I906" s="11"/>
    </row>
    <row r="907">
      <c r="I907" s="11"/>
    </row>
    <row r="908">
      <c r="I908" s="11"/>
    </row>
    <row r="909">
      <c r="I909" s="11"/>
    </row>
    <row r="910">
      <c r="I910" s="11"/>
    </row>
    <row r="911">
      <c r="I911" s="11"/>
    </row>
    <row r="912">
      <c r="I912" s="11"/>
    </row>
    <row r="913">
      <c r="I913" s="11"/>
    </row>
    <row r="914">
      <c r="I914" s="11"/>
    </row>
    <row r="915">
      <c r="I915" s="11"/>
    </row>
    <row r="916">
      <c r="I916" s="11"/>
    </row>
    <row r="917">
      <c r="I917" s="11"/>
    </row>
    <row r="918">
      <c r="I918" s="11"/>
    </row>
    <row r="919">
      <c r="I919" s="11"/>
    </row>
    <row r="920">
      <c r="I920" s="11"/>
    </row>
    <row r="921">
      <c r="I921" s="11"/>
    </row>
    <row r="922">
      <c r="I922" s="11"/>
    </row>
    <row r="923">
      <c r="I923" s="11"/>
    </row>
    <row r="924">
      <c r="I924" s="11"/>
    </row>
    <row r="925">
      <c r="I925" s="11"/>
    </row>
    <row r="926">
      <c r="I926" s="11"/>
    </row>
    <row r="927">
      <c r="I927" s="11"/>
    </row>
    <row r="928">
      <c r="I928" s="11"/>
    </row>
    <row r="929">
      <c r="I929" s="11"/>
    </row>
    <row r="930">
      <c r="I930" s="11"/>
    </row>
    <row r="931">
      <c r="I931" s="11"/>
    </row>
    <row r="932">
      <c r="I932" s="11"/>
    </row>
    <row r="933">
      <c r="I933" s="11"/>
    </row>
    <row r="934">
      <c r="I934" s="11"/>
    </row>
    <row r="935">
      <c r="I935" s="11"/>
    </row>
    <row r="936">
      <c r="I936" s="11"/>
    </row>
    <row r="937">
      <c r="I937" s="11"/>
    </row>
    <row r="938">
      <c r="I938" s="11"/>
    </row>
    <row r="939">
      <c r="I939" s="11"/>
    </row>
    <row r="940">
      <c r="I940" s="11"/>
    </row>
    <row r="941">
      <c r="I941" s="11"/>
    </row>
    <row r="942">
      <c r="I942" s="11"/>
    </row>
    <row r="943">
      <c r="I943" s="11"/>
    </row>
    <row r="944">
      <c r="I944" s="11"/>
    </row>
    <row r="945">
      <c r="I945" s="11"/>
    </row>
    <row r="946">
      <c r="I946" s="11"/>
    </row>
    <row r="947">
      <c r="I947" s="11"/>
    </row>
    <row r="948">
      <c r="I948" s="11"/>
    </row>
    <row r="949">
      <c r="I949" s="11"/>
    </row>
    <row r="950">
      <c r="I950" s="11"/>
    </row>
    <row r="951">
      <c r="I951" s="11"/>
    </row>
    <row r="952">
      <c r="I952" s="11"/>
    </row>
    <row r="953">
      <c r="I953" s="11"/>
    </row>
    <row r="954">
      <c r="I954" s="11"/>
    </row>
    <row r="955">
      <c r="I955" s="11"/>
    </row>
    <row r="956">
      <c r="I956" s="11"/>
    </row>
    <row r="957">
      <c r="I957" s="11"/>
    </row>
    <row r="958">
      <c r="I958" s="11"/>
    </row>
    <row r="959">
      <c r="I959" s="11"/>
    </row>
    <row r="960">
      <c r="I960" s="11"/>
    </row>
    <row r="961">
      <c r="I961" s="11"/>
    </row>
    <row r="962">
      <c r="I962" s="11"/>
    </row>
    <row r="963">
      <c r="I963" s="11"/>
    </row>
    <row r="964">
      <c r="I964" s="11"/>
    </row>
    <row r="965">
      <c r="I965" s="11"/>
    </row>
    <row r="966">
      <c r="I966" s="11"/>
    </row>
    <row r="967">
      <c r="I967" s="11"/>
    </row>
    <row r="968">
      <c r="I968" s="11"/>
    </row>
    <row r="969">
      <c r="I969" s="11"/>
    </row>
    <row r="970">
      <c r="I970" s="11"/>
    </row>
    <row r="971">
      <c r="I971" s="11"/>
    </row>
    <row r="972">
      <c r="I972" s="11"/>
    </row>
    <row r="973">
      <c r="I973" s="11"/>
    </row>
    <row r="974">
      <c r="I974" s="11"/>
    </row>
    <row r="975">
      <c r="I975" s="11"/>
    </row>
    <row r="976">
      <c r="I976" s="11"/>
    </row>
    <row r="977">
      <c r="I977" s="11"/>
    </row>
    <row r="978">
      <c r="I978" s="11"/>
    </row>
    <row r="979">
      <c r="I979" s="11"/>
    </row>
    <row r="980">
      <c r="I980" s="11"/>
    </row>
    <row r="981">
      <c r="I981" s="11"/>
    </row>
    <row r="982">
      <c r="I982" s="11"/>
    </row>
    <row r="983">
      <c r="I983" s="11"/>
    </row>
    <row r="984">
      <c r="I984" s="11"/>
    </row>
    <row r="985">
      <c r="I985" s="11"/>
    </row>
    <row r="986">
      <c r="I986" s="11"/>
    </row>
    <row r="987">
      <c r="I987" s="11"/>
    </row>
    <row r="988">
      <c r="I988" s="11"/>
    </row>
    <row r="989">
      <c r="I989" s="11"/>
    </row>
    <row r="990">
      <c r="I990" s="11"/>
    </row>
    <row r="991">
      <c r="I991" s="11"/>
    </row>
    <row r="992">
      <c r="I992" s="11"/>
    </row>
    <row r="993">
      <c r="I993" s="11"/>
    </row>
    <row r="994">
      <c r="I994" s="11"/>
    </row>
    <row r="995">
      <c r="I995" s="11"/>
    </row>
    <row r="996">
      <c r="I996" s="11"/>
    </row>
    <row r="997">
      <c r="I997" s="11"/>
    </row>
    <row r="998">
      <c r="I998" s="11"/>
    </row>
    <row r="999">
      <c r="I999" s="1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1.33"/>
    <col customWidth="1" min="3" max="3" width="23.89"/>
    <col customWidth="1" min="4" max="4" width="89.89"/>
    <col customWidth="1" min="5" max="5" width="21.33"/>
    <col customWidth="1" min="6" max="6" width="26.11"/>
    <col customWidth="1" min="7" max="7" width="21.22"/>
    <col customWidth="1" min="8" max="8" width="30.11"/>
    <col customWidth="1" min="9" max="9" width="21.22"/>
    <col customWidth="1" min="10" max="10" width="32.33"/>
  </cols>
  <sheetData>
    <row r="1">
      <c r="A1" s="43"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279.75" customHeight="1">
      <c r="A2" s="41" t="s">
        <v>574</v>
      </c>
      <c r="B2" s="24" t="s">
        <v>541</v>
      </c>
      <c r="C2" s="24" t="s">
        <v>575</v>
      </c>
      <c r="D2" s="24" t="s">
        <v>576</v>
      </c>
      <c r="E2" s="24" t="s">
        <v>577</v>
      </c>
      <c r="F2" s="24" t="s">
        <v>578</v>
      </c>
      <c r="G2" s="24" t="s">
        <v>579</v>
      </c>
      <c r="H2" s="24" t="s">
        <v>580</v>
      </c>
      <c r="I2" s="27" t="s">
        <v>389</v>
      </c>
      <c r="J2" s="24" t="s">
        <v>581</v>
      </c>
    </row>
    <row r="3" ht="279.75" customHeight="1">
      <c r="A3" s="41" t="s">
        <v>582</v>
      </c>
      <c r="B3" s="24" t="s">
        <v>583</v>
      </c>
      <c r="C3" s="24" t="s">
        <v>584</v>
      </c>
      <c r="D3" s="24" t="s">
        <v>585</v>
      </c>
      <c r="E3" s="24" t="s">
        <v>586</v>
      </c>
      <c r="F3" s="24" t="s">
        <v>587</v>
      </c>
      <c r="G3" s="24" t="s">
        <v>588</v>
      </c>
      <c r="H3" s="24" t="s">
        <v>589</v>
      </c>
      <c r="I3" s="27" t="s">
        <v>389</v>
      </c>
      <c r="J3" s="24" t="s">
        <v>590</v>
      </c>
    </row>
    <row r="4" ht="333.0" customHeight="1">
      <c r="A4" s="41" t="s">
        <v>591</v>
      </c>
      <c r="B4" s="24" t="s">
        <v>583</v>
      </c>
      <c r="C4" s="24" t="s">
        <v>592</v>
      </c>
      <c r="D4" s="24" t="s">
        <v>593</v>
      </c>
      <c r="E4" s="24" t="s">
        <v>594</v>
      </c>
      <c r="F4" s="24" t="s">
        <v>595</v>
      </c>
      <c r="G4" s="24" t="s">
        <v>596</v>
      </c>
      <c r="H4" s="24" t="s">
        <v>597</v>
      </c>
      <c r="I4" s="27" t="s">
        <v>389</v>
      </c>
      <c r="J4" s="24" t="s">
        <v>598</v>
      </c>
    </row>
    <row r="5">
      <c r="A5" s="44"/>
    </row>
    <row r="6">
      <c r="A6" s="44"/>
    </row>
    <row r="7">
      <c r="A7" s="44"/>
    </row>
    <row r="8">
      <c r="A8" s="44"/>
    </row>
    <row r="9">
      <c r="A9" s="44"/>
    </row>
    <row r="10">
      <c r="A10" s="44"/>
    </row>
    <row r="11">
      <c r="A11" s="44"/>
    </row>
    <row r="12">
      <c r="A12" s="44"/>
    </row>
    <row r="13">
      <c r="A13" s="44"/>
    </row>
    <row r="14">
      <c r="A14" s="44"/>
    </row>
    <row r="15">
      <c r="A15" s="44"/>
    </row>
    <row r="16">
      <c r="A16" s="44"/>
    </row>
    <row r="17">
      <c r="A17" s="44"/>
    </row>
    <row r="18">
      <c r="A18" s="44"/>
    </row>
    <row r="19">
      <c r="A19" s="44"/>
    </row>
    <row r="20">
      <c r="A20" s="44"/>
    </row>
    <row r="21">
      <c r="A21" s="44"/>
    </row>
    <row r="22">
      <c r="A22" s="44"/>
    </row>
    <row r="23">
      <c r="A23" s="44"/>
    </row>
    <row r="24">
      <c r="A24" s="44"/>
    </row>
    <row r="25">
      <c r="A25" s="44"/>
    </row>
    <row r="26">
      <c r="A26" s="44"/>
    </row>
    <row r="27">
      <c r="A27" s="44"/>
    </row>
    <row r="28">
      <c r="A28" s="44"/>
    </row>
    <row r="29">
      <c r="A29" s="44"/>
    </row>
    <row r="30">
      <c r="A30" s="44"/>
    </row>
    <row r="31">
      <c r="A31" s="44"/>
    </row>
    <row r="32">
      <c r="A32" s="44"/>
    </row>
    <row r="33">
      <c r="A33" s="44"/>
    </row>
    <row r="34">
      <c r="A34" s="44"/>
    </row>
    <row r="35">
      <c r="A35" s="44"/>
    </row>
    <row r="36">
      <c r="A36" s="44"/>
    </row>
    <row r="37">
      <c r="A37" s="44"/>
    </row>
    <row r="38">
      <c r="A38" s="44"/>
    </row>
    <row r="39">
      <c r="A39" s="44"/>
    </row>
    <row r="40">
      <c r="A40" s="44"/>
    </row>
    <row r="41">
      <c r="A41" s="44"/>
    </row>
    <row r="42">
      <c r="A42" s="44"/>
    </row>
    <row r="43">
      <c r="A43" s="44"/>
    </row>
    <row r="44">
      <c r="A44" s="44"/>
    </row>
    <row r="45">
      <c r="A45" s="44"/>
    </row>
    <row r="46">
      <c r="A46" s="44"/>
    </row>
    <row r="47">
      <c r="A47" s="44"/>
    </row>
    <row r="48">
      <c r="A48" s="44"/>
    </row>
    <row r="49">
      <c r="A49" s="44"/>
    </row>
    <row r="50">
      <c r="A50" s="44"/>
    </row>
    <row r="51">
      <c r="A51" s="44"/>
    </row>
    <row r="52">
      <c r="A52" s="44"/>
    </row>
    <row r="53">
      <c r="A53" s="44"/>
    </row>
    <row r="54">
      <c r="A54" s="44"/>
    </row>
    <row r="55">
      <c r="A55" s="44"/>
    </row>
    <row r="56">
      <c r="A56" s="44"/>
    </row>
    <row r="57">
      <c r="A57" s="44"/>
    </row>
    <row r="58">
      <c r="A58" s="44"/>
    </row>
    <row r="59">
      <c r="A59" s="44"/>
    </row>
    <row r="60">
      <c r="A60" s="44"/>
    </row>
    <row r="61">
      <c r="A61" s="44"/>
    </row>
    <row r="62">
      <c r="A62" s="44"/>
    </row>
    <row r="63">
      <c r="A63" s="44"/>
    </row>
    <row r="64">
      <c r="A64" s="44"/>
    </row>
    <row r="65">
      <c r="A65" s="44"/>
    </row>
    <row r="66">
      <c r="A66" s="44"/>
    </row>
    <row r="67">
      <c r="A67" s="44"/>
    </row>
    <row r="68">
      <c r="A68" s="44"/>
    </row>
    <row r="69">
      <c r="A69" s="44"/>
    </row>
    <row r="70">
      <c r="A70" s="44"/>
    </row>
    <row r="71">
      <c r="A71" s="44"/>
    </row>
    <row r="72">
      <c r="A72" s="44"/>
    </row>
    <row r="73">
      <c r="A73" s="44"/>
    </row>
    <row r="74">
      <c r="A74" s="44"/>
    </row>
    <row r="75">
      <c r="A75" s="44"/>
    </row>
    <row r="76">
      <c r="A76" s="44"/>
    </row>
    <row r="77">
      <c r="A77" s="44"/>
    </row>
    <row r="78">
      <c r="A78" s="44"/>
    </row>
    <row r="79">
      <c r="A79" s="44"/>
    </row>
    <row r="80">
      <c r="A80" s="44"/>
    </row>
    <row r="81">
      <c r="A81" s="44"/>
    </row>
    <row r="82">
      <c r="A82" s="44"/>
    </row>
    <row r="83">
      <c r="A83" s="44"/>
    </row>
    <row r="84">
      <c r="A84" s="44"/>
    </row>
    <row r="85">
      <c r="A85" s="44"/>
    </row>
    <row r="86">
      <c r="A86" s="44"/>
    </row>
    <row r="87">
      <c r="A87" s="44"/>
    </row>
    <row r="88">
      <c r="A88" s="44"/>
    </row>
    <row r="89">
      <c r="A89" s="44"/>
    </row>
    <row r="90">
      <c r="A90" s="44"/>
    </row>
    <row r="91">
      <c r="A91" s="44"/>
    </row>
    <row r="92">
      <c r="A92" s="44"/>
    </row>
    <row r="93">
      <c r="A93" s="44"/>
    </row>
    <row r="94">
      <c r="A94" s="44"/>
    </row>
    <row r="95">
      <c r="A95" s="44"/>
    </row>
    <row r="96">
      <c r="A96" s="44"/>
    </row>
    <row r="97">
      <c r="A97" s="44"/>
    </row>
    <row r="98">
      <c r="A98" s="44"/>
    </row>
    <row r="99">
      <c r="A99" s="44"/>
    </row>
    <row r="100">
      <c r="A100" s="44"/>
    </row>
    <row r="101">
      <c r="A101" s="44"/>
    </row>
    <row r="102">
      <c r="A102" s="44"/>
    </row>
    <row r="103">
      <c r="A103" s="44"/>
    </row>
    <row r="104">
      <c r="A104" s="44"/>
    </row>
    <row r="105">
      <c r="A105" s="44"/>
    </row>
    <row r="106">
      <c r="A106" s="44"/>
    </row>
    <row r="107">
      <c r="A107" s="44"/>
    </row>
    <row r="108">
      <c r="A108" s="44"/>
    </row>
    <row r="109">
      <c r="A109" s="44"/>
    </row>
    <row r="110">
      <c r="A110" s="44"/>
    </row>
    <row r="111">
      <c r="A111" s="44"/>
    </row>
    <row r="112">
      <c r="A112" s="44"/>
    </row>
    <row r="113">
      <c r="A113" s="44"/>
    </row>
    <row r="114">
      <c r="A114" s="44"/>
    </row>
    <row r="115">
      <c r="A115" s="44"/>
    </row>
    <row r="116">
      <c r="A116" s="44"/>
    </row>
    <row r="117">
      <c r="A117" s="44"/>
    </row>
    <row r="118">
      <c r="A118" s="44"/>
    </row>
    <row r="119">
      <c r="A119" s="44"/>
    </row>
    <row r="120">
      <c r="A120" s="44"/>
    </row>
    <row r="121">
      <c r="A121" s="44"/>
    </row>
    <row r="122">
      <c r="A122" s="44"/>
    </row>
    <row r="123">
      <c r="A123" s="44"/>
    </row>
    <row r="124">
      <c r="A124" s="44"/>
    </row>
    <row r="125">
      <c r="A125" s="44"/>
    </row>
    <row r="126">
      <c r="A126" s="44"/>
    </row>
    <row r="127">
      <c r="A127" s="44"/>
    </row>
    <row r="128">
      <c r="A128" s="44"/>
    </row>
    <row r="129">
      <c r="A129" s="44"/>
    </row>
    <row r="130">
      <c r="A130" s="44"/>
    </row>
    <row r="131">
      <c r="A131" s="44"/>
    </row>
    <row r="132">
      <c r="A132" s="44"/>
    </row>
    <row r="133">
      <c r="A133" s="44"/>
    </row>
    <row r="134">
      <c r="A134" s="44"/>
    </row>
    <row r="135">
      <c r="A135" s="44"/>
    </row>
    <row r="136">
      <c r="A136" s="44"/>
    </row>
    <row r="137">
      <c r="A137" s="44"/>
    </row>
    <row r="138">
      <c r="A138" s="44"/>
    </row>
    <row r="139">
      <c r="A139" s="44"/>
    </row>
    <row r="140">
      <c r="A140" s="44"/>
    </row>
    <row r="141">
      <c r="A141" s="44"/>
    </row>
    <row r="142">
      <c r="A142" s="44"/>
    </row>
    <row r="143">
      <c r="A143" s="44"/>
    </row>
    <row r="144">
      <c r="A144" s="44"/>
    </row>
    <row r="145">
      <c r="A145" s="44"/>
    </row>
    <row r="146">
      <c r="A146" s="44"/>
    </row>
    <row r="147">
      <c r="A147" s="44"/>
    </row>
    <row r="148">
      <c r="A148" s="44"/>
    </row>
    <row r="149">
      <c r="A149" s="44"/>
    </row>
    <row r="150">
      <c r="A150" s="44"/>
    </row>
    <row r="151">
      <c r="A151" s="44"/>
    </row>
    <row r="152">
      <c r="A152" s="44"/>
    </row>
    <row r="153">
      <c r="A153" s="44"/>
    </row>
    <row r="154">
      <c r="A154" s="44"/>
    </row>
    <row r="155">
      <c r="A155" s="44"/>
    </row>
    <row r="156">
      <c r="A156" s="44"/>
    </row>
    <row r="157">
      <c r="A157" s="44"/>
    </row>
    <row r="158">
      <c r="A158" s="44"/>
    </row>
    <row r="159">
      <c r="A159" s="44"/>
    </row>
    <row r="160">
      <c r="A160" s="44"/>
    </row>
    <row r="161">
      <c r="A161" s="44"/>
    </row>
    <row r="162">
      <c r="A162" s="44"/>
    </row>
    <row r="163">
      <c r="A163" s="44"/>
    </row>
    <row r="164">
      <c r="A164" s="44"/>
    </row>
    <row r="165">
      <c r="A165" s="44"/>
    </row>
    <row r="166">
      <c r="A166" s="44"/>
    </row>
    <row r="167">
      <c r="A167" s="44"/>
    </row>
    <row r="168">
      <c r="A168" s="44"/>
    </row>
    <row r="169">
      <c r="A169" s="44"/>
    </row>
    <row r="170">
      <c r="A170" s="44"/>
    </row>
    <row r="171">
      <c r="A171" s="44"/>
    </row>
    <row r="172">
      <c r="A172" s="44"/>
    </row>
    <row r="173">
      <c r="A173" s="44"/>
    </row>
    <row r="174">
      <c r="A174" s="44"/>
    </row>
    <row r="175">
      <c r="A175" s="44"/>
    </row>
    <row r="176">
      <c r="A176" s="44"/>
    </row>
    <row r="177">
      <c r="A177" s="44"/>
    </row>
    <row r="178">
      <c r="A178" s="44"/>
    </row>
    <row r="179">
      <c r="A179" s="44"/>
    </row>
    <row r="180">
      <c r="A180" s="44"/>
    </row>
    <row r="181">
      <c r="A181" s="44"/>
    </row>
    <row r="182">
      <c r="A182" s="44"/>
    </row>
    <row r="183">
      <c r="A183" s="44"/>
    </row>
    <row r="184">
      <c r="A184" s="44"/>
    </row>
    <row r="185">
      <c r="A185" s="44"/>
    </row>
    <row r="186">
      <c r="A186" s="44"/>
    </row>
    <row r="187">
      <c r="A187" s="44"/>
    </row>
    <row r="188">
      <c r="A188" s="44"/>
    </row>
    <row r="189">
      <c r="A189" s="44"/>
    </row>
    <row r="190">
      <c r="A190" s="44"/>
    </row>
    <row r="191">
      <c r="A191" s="44"/>
    </row>
    <row r="192">
      <c r="A192" s="44"/>
    </row>
    <row r="193">
      <c r="A193" s="44"/>
    </row>
    <row r="194">
      <c r="A194" s="44"/>
    </row>
    <row r="195">
      <c r="A195" s="44"/>
    </row>
    <row r="196">
      <c r="A196" s="44"/>
    </row>
    <row r="197">
      <c r="A197" s="44"/>
    </row>
    <row r="198">
      <c r="A198" s="44"/>
    </row>
    <row r="199">
      <c r="A199" s="44"/>
    </row>
    <row r="200">
      <c r="A200" s="44"/>
    </row>
    <row r="201">
      <c r="A201" s="44"/>
    </row>
    <row r="202">
      <c r="A202" s="44"/>
    </row>
    <row r="203">
      <c r="A203" s="44"/>
    </row>
    <row r="204">
      <c r="A204" s="44"/>
    </row>
    <row r="205">
      <c r="A205" s="44"/>
    </row>
    <row r="206">
      <c r="A206" s="44"/>
    </row>
    <row r="207">
      <c r="A207" s="44"/>
    </row>
    <row r="208">
      <c r="A208" s="44"/>
    </row>
    <row r="209">
      <c r="A209" s="44"/>
    </row>
    <row r="210">
      <c r="A210" s="44"/>
    </row>
    <row r="211">
      <c r="A211" s="44"/>
    </row>
    <row r="212">
      <c r="A212" s="44"/>
    </row>
    <row r="213">
      <c r="A213" s="44"/>
    </row>
    <row r="214">
      <c r="A214" s="44"/>
    </row>
    <row r="215">
      <c r="A215" s="44"/>
    </row>
    <row r="216">
      <c r="A216" s="44"/>
    </row>
    <row r="217">
      <c r="A217" s="44"/>
    </row>
    <row r="218">
      <c r="A218" s="44"/>
    </row>
    <row r="219">
      <c r="A219" s="44"/>
    </row>
    <row r="220">
      <c r="A220" s="44"/>
    </row>
    <row r="221">
      <c r="A221" s="44"/>
    </row>
    <row r="222">
      <c r="A222" s="44"/>
    </row>
    <row r="223">
      <c r="A223" s="44"/>
    </row>
    <row r="224">
      <c r="A224" s="44"/>
    </row>
    <row r="225">
      <c r="A225" s="44"/>
    </row>
    <row r="226">
      <c r="A226" s="44"/>
    </row>
    <row r="227">
      <c r="A227" s="44"/>
    </row>
    <row r="228">
      <c r="A228" s="44"/>
    </row>
    <row r="229">
      <c r="A229" s="44"/>
    </row>
    <row r="230">
      <c r="A230" s="44"/>
    </row>
    <row r="231">
      <c r="A231" s="44"/>
    </row>
    <row r="232">
      <c r="A232" s="44"/>
    </row>
    <row r="233">
      <c r="A233" s="44"/>
    </row>
    <row r="234">
      <c r="A234" s="44"/>
    </row>
    <row r="235">
      <c r="A235" s="44"/>
    </row>
    <row r="236">
      <c r="A236" s="44"/>
    </row>
    <row r="237">
      <c r="A237" s="44"/>
    </row>
    <row r="238">
      <c r="A238" s="44"/>
    </row>
    <row r="239">
      <c r="A239" s="44"/>
    </row>
    <row r="240">
      <c r="A240" s="44"/>
    </row>
    <row r="241">
      <c r="A241" s="44"/>
    </row>
    <row r="242">
      <c r="A242" s="44"/>
    </row>
    <row r="243">
      <c r="A243" s="44"/>
    </row>
    <row r="244">
      <c r="A244" s="44"/>
    </row>
    <row r="245">
      <c r="A245" s="44"/>
    </row>
    <row r="246">
      <c r="A246" s="44"/>
    </row>
    <row r="247">
      <c r="A247" s="44"/>
    </row>
    <row r="248">
      <c r="A248" s="44"/>
    </row>
    <row r="249">
      <c r="A249" s="44"/>
    </row>
    <row r="250">
      <c r="A250" s="44"/>
    </row>
    <row r="251">
      <c r="A251" s="44"/>
    </row>
    <row r="252">
      <c r="A252" s="44"/>
    </row>
    <row r="253">
      <c r="A253" s="44"/>
    </row>
    <row r="254">
      <c r="A254" s="44"/>
    </row>
    <row r="255">
      <c r="A255" s="44"/>
    </row>
    <row r="256">
      <c r="A256" s="44"/>
    </row>
    <row r="257">
      <c r="A257" s="44"/>
    </row>
    <row r="258">
      <c r="A258" s="44"/>
    </row>
    <row r="259">
      <c r="A259" s="44"/>
    </row>
    <row r="260">
      <c r="A260" s="44"/>
    </row>
    <row r="261">
      <c r="A261" s="44"/>
    </row>
    <row r="262">
      <c r="A262" s="44"/>
    </row>
    <row r="263">
      <c r="A263" s="44"/>
    </row>
    <row r="264">
      <c r="A264" s="44"/>
    </row>
    <row r="265">
      <c r="A265" s="44"/>
    </row>
    <row r="266">
      <c r="A266" s="44"/>
    </row>
    <row r="267">
      <c r="A267" s="44"/>
    </row>
    <row r="268">
      <c r="A268" s="44"/>
    </row>
    <row r="269">
      <c r="A269" s="44"/>
    </row>
    <row r="270">
      <c r="A270" s="44"/>
    </row>
    <row r="271">
      <c r="A271" s="44"/>
    </row>
    <row r="272">
      <c r="A272" s="44"/>
    </row>
    <row r="273">
      <c r="A273" s="44"/>
    </row>
    <row r="274">
      <c r="A274" s="44"/>
    </row>
    <row r="275">
      <c r="A275" s="44"/>
    </row>
    <row r="276">
      <c r="A276" s="44"/>
    </row>
    <row r="277">
      <c r="A277" s="44"/>
    </row>
    <row r="278">
      <c r="A278" s="44"/>
    </row>
    <row r="279">
      <c r="A279" s="44"/>
    </row>
    <row r="280">
      <c r="A280" s="44"/>
    </row>
    <row r="281">
      <c r="A281" s="44"/>
    </row>
    <row r="282">
      <c r="A282" s="44"/>
    </row>
    <row r="283">
      <c r="A283" s="44"/>
    </row>
    <row r="284">
      <c r="A284" s="44"/>
    </row>
    <row r="285">
      <c r="A285" s="44"/>
    </row>
    <row r="286">
      <c r="A286" s="44"/>
    </row>
    <row r="287">
      <c r="A287" s="44"/>
    </row>
    <row r="288">
      <c r="A288" s="44"/>
    </row>
    <row r="289">
      <c r="A289" s="44"/>
    </row>
    <row r="290">
      <c r="A290" s="44"/>
    </row>
    <row r="291">
      <c r="A291" s="44"/>
    </row>
    <row r="292">
      <c r="A292" s="44"/>
    </row>
    <row r="293">
      <c r="A293" s="44"/>
    </row>
    <row r="294">
      <c r="A294" s="44"/>
    </row>
    <row r="295">
      <c r="A295" s="44"/>
    </row>
    <row r="296">
      <c r="A296" s="44"/>
    </row>
    <row r="297">
      <c r="A297" s="44"/>
    </row>
    <row r="298">
      <c r="A298" s="44"/>
    </row>
    <row r="299">
      <c r="A299" s="44"/>
    </row>
    <row r="300">
      <c r="A300" s="44"/>
    </row>
    <row r="301">
      <c r="A301" s="44"/>
    </row>
    <row r="302">
      <c r="A302" s="44"/>
    </row>
    <row r="303">
      <c r="A303" s="44"/>
    </row>
    <row r="304">
      <c r="A304" s="44"/>
    </row>
    <row r="305">
      <c r="A305" s="44"/>
    </row>
    <row r="306">
      <c r="A306" s="44"/>
    </row>
    <row r="307">
      <c r="A307" s="44"/>
    </row>
    <row r="308">
      <c r="A308" s="44"/>
    </row>
    <row r="309">
      <c r="A309" s="44"/>
    </row>
    <row r="310">
      <c r="A310" s="44"/>
    </row>
    <row r="311">
      <c r="A311" s="44"/>
    </row>
    <row r="312">
      <c r="A312" s="44"/>
    </row>
    <row r="313">
      <c r="A313" s="44"/>
    </row>
    <row r="314">
      <c r="A314" s="44"/>
    </row>
    <row r="315">
      <c r="A315" s="44"/>
    </row>
    <row r="316">
      <c r="A316" s="44"/>
    </row>
    <row r="317">
      <c r="A317" s="44"/>
    </row>
    <row r="318">
      <c r="A318" s="44"/>
    </row>
    <row r="319">
      <c r="A319" s="44"/>
    </row>
    <row r="320">
      <c r="A320" s="44"/>
    </row>
    <row r="321">
      <c r="A321" s="44"/>
    </row>
    <row r="322">
      <c r="A322" s="44"/>
    </row>
    <row r="323">
      <c r="A323" s="44"/>
    </row>
    <row r="324">
      <c r="A324" s="44"/>
    </row>
    <row r="325">
      <c r="A325" s="44"/>
    </row>
    <row r="326">
      <c r="A326" s="44"/>
    </row>
    <row r="327">
      <c r="A327" s="44"/>
    </row>
    <row r="328">
      <c r="A328" s="44"/>
    </row>
    <row r="329">
      <c r="A329" s="44"/>
    </row>
    <row r="330">
      <c r="A330" s="44"/>
    </row>
    <row r="331">
      <c r="A331" s="44"/>
    </row>
    <row r="332">
      <c r="A332" s="44"/>
    </row>
    <row r="333">
      <c r="A333" s="44"/>
    </row>
    <row r="334">
      <c r="A334" s="44"/>
    </row>
    <row r="335">
      <c r="A335" s="44"/>
    </row>
    <row r="336">
      <c r="A336" s="44"/>
    </row>
    <row r="337">
      <c r="A337" s="44"/>
    </row>
    <row r="338">
      <c r="A338" s="44"/>
    </row>
    <row r="339">
      <c r="A339" s="44"/>
    </row>
    <row r="340">
      <c r="A340" s="44"/>
    </row>
    <row r="341">
      <c r="A341" s="44"/>
    </row>
    <row r="342">
      <c r="A342" s="44"/>
    </row>
    <row r="343">
      <c r="A343" s="44"/>
    </row>
    <row r="344">
      <c r="A344" s="44"/>
    </row>
    <row r="345">
      <c r="A345" s="44"/>
    </row>
    <row r="346">
      <c r="A346" s="44"/>
    </row>
    <row r="347">
      <c r="A347" s="44"/>
    </row>
    <row r="348">
      <c r="A348" s="44"/>
    </row>
    <row r="349">
      <c r="A349" s="44"/>
    </row>
    <row r="350">
      <c r="A350" s="44"/>
    </row>
    <row r="351">
      <c r="A351" s="44"/>
    </row>
    <row r="352">
      <c r="A352" s="44"/>
    </row>
    <row r="353">
      <c r="A353" s="44"/>
    </row>
    <row r="354">
      <c r="A354" s="44"/>
    </row>
    <row r="355">
      <c r="A355" s="44"/>
    </row>
    <row r="356">
      <c r="A356" s="44"/>
    </row>
    <row r="357">
      <c r="A357" s="44"/>
    </row>
    <row r="358">
      <c r="A358" s="44"/>
    </row>
    <row r="359">
      <c r="A359" s="44"/>
    </row>
    <row r="360">
      <c r="A360" s="44"/>
    </row>
    <row r="361">
      <c r="A361" s="44"/>
    </row>
    <row r="362">
      <c r="A362" s="44"/>
    </row>
    <row r="363">
      <c r="A363" s="44"/>
    </row>
    <row r="364">
      <c r="A364" s="44"/>
    </row>
    <row r="365">
      <c r="A365" s="44"/>
    </row>
    <row r="366">
      <c r="A366" s="44"/>
    </row>
    <row r="367">
      <c r="A367" s="44"/>
    </row>
    <row r="368">
      <c r="A368" s="44"/>
    </row>
    <row r="369">
      <c r="A369" s="44"/>
    </row>
    <row r="370">
      <c r="A370" s="44"/>
    </row>
    <row r="371">
      <c r="A371" s="44"/>
    </row>
    <row r="372">
      <c r="A372" s="44"/>
    </row>
    <row r="373">
      <c r="A373" s="44"/>
    </row>
    <row r="374">
      <c r="A374" s="44"/>
    </row>
    <row r="375">
      <c r="A375" s="44"/>
    </row>
    <row r="376">
      <c r="A376" s="44"/>
    </row>
    <row r="377">
      <c r="A377" s="44"/>
    </row>
    <row r="378">
      <c r="A378" s="44"/>
    </row>
    <row r="379">
      <c r="A379" s="44"/>
    </row>
    <row r="380">
      <c r="A380" s="44"/>
    </row>
    <row r="381">
      <c r="A381" s="44"/>
    </row>
    <row r="382">
      <c r="A382" s="44"/>
    </row>
    <row r="383">
      <c r="A383" s="44"/>
    </row>
    <row r="384">
      <c r="A384" s="44"/>
    </row>
    <row r="385">
      <c r="A385" s="44"/>
    </row>
    <row r="386">
      <c r="A386" s="44"/>
    </row>
    <row r="387">
      <c r="A387" s="44"/>
    </row>
    <row r="388">
      <c r="A388" s="44"/>
    </row>
    <row r="389">
      <c r="A389" s="44"/>
    </row>
    <row r="390">
      <c r="A390" s="44"/>
    </row>
    <row r="391">
      <c r="A391" s="44"/>
    </row>
    <row r="392">
      <c r="A392" s="44"/>
    </row>
    <row r="393">
      <c r="A393" s="44"/>
    </row>
    <row r="394">
      <c r="A394" s="44"/>
    </row>
    <row r="395">
      <c r="A395" s="44"/>
    </row>
    <row r="396">
      <c r="A396" s="44"/>
    </row>
    <row r="397">
      <c r="A397" s="44"/>
    </row>
    <row r="398">
      <c r="A398" s="44"/>
    </row>
    <row r="399">
      <c r="A399" s="44"/>
    </row>
    <row r="400">
      <c r="A400" s="44"/>
    </row>
    <row r="401">
      <c r="A401" s="44"/>
    </row>
    <row r="402">
      <c r="A402" s="44"/>
    </row>
    <row r="403">
      <c r="A403" s="44"/>
    </row>
    <row r="404">
      <c r="A404" s="44"/>
    </row>
    <row r="405">
      <c r="A405" s="44"/>
    </row>
    <row r="406">
      <c r="A406" s="44"/>
    </row>
    <row r="407">
      <c r="A407" s="44"/>
    </row>
    <row r="408">
      <c r="A408" s="44"/>
    </row>
    <row r="409">
      <c r="A409" s="44"/>
    </row>
    <row r="410">
      <c r="A410" s="44"/>
    </row>
    <row r="411">
      <c r="A411" s="44"/>
    </row>
    <row r="412">
      <c r="A412" s="44"/>
    </row>
    <row r="413">
      <c r="A413" s="44"/>
    </row>
    <row r="414">
      <c r="A414" s="44"/>
    </row>
    <row r="415">
      <c r="A415" s="44"/>
    </row>
    <row r="416">
      <c r="A416" s="44"/>
    </row>
    <row r="417">
      <c r="A417" s="44"/>
    </row>
    <row r="418">
      <c r="A418" s="44"/>
    </row>
    <row r="419">
      <c r="A419" s="44"/>
    </row>
    <row r="420">
      <c r="A420" s="44"/>
    </row>
    <row r="421">
      <c r="A421" s="44"/>
    </row>
    <row r="422">
      <c r="A422" s="44"/>
    </row>
    <row r="423">
      <c r="A423" s="44"/>
    </row>
    <row r="424">
      <c r="A424" s="44"/>
    </row>
    <row r="425">
      <c r="A425" s="44"/>
    </row>
    <row r="426">
      <c r="A426" s="44"/>
    </row>
    <row r="427">
      <c r="A427" s="44"/>
    </row>
    <row r="428">
      <c r="A428" s="44"/>
    </row>
    <row r="429">
      <c r="A429" s="44"/>
    </row>
    <row r="430">
      <c r="A430" s="44"/>
    </row>
    <row r="431">
      <c r="A431" s="44"/>
    </row>
    <row r="432">
      <c r="A432" s="44"/>
    </row>
    <row r="433">
      <c r="A433" s="44"/>
    </row>
    <row r="434">
      <c r="A434" s="44"/>
    </row>
    <row r="435">
      <c r="A435" s="44"/>
    </row>
    <row r="436">
      <c r="A436" s="44"/>
    </row>
    <row r="437">
      <c r="A437" s="44"/>
    </row>
    <row r="438">
      <c r="A438" s="44"/>
    </row>
    <row r="439">
      <c r="A439" s="44"/>
    </row>
    <row r="440">
      <c r="A440" s="44"/>
    </row>
    <row r="441">
      <c r="A441" s="44"/>
    </row>
    <row r="442">
      <c r="A442" s="44"/>
    </row>
    <row r="443">
      <c r="A443" s="44"/>
    </row>
    <row r="444">
      <c r="A444" s="44"/>
    </row>
    <row r="445">
      <c r="A445" s="44"/>
    </row>
    <row r="446">
      <c r="A446" s="44"/>
    </row>
    <row r="447">
      <c r="A447" s="44"/>
    </row>
    <row r="448">
      <c r="A448" s="44"/>
    </row>
    <row r="449">
      <c r="A449" s="44"/>
    </row>
    <row r="450">
      <c r="A450" s="44"/>
    </row>
    <row r="451">
      <c r="A451" s="44"/>
    </row>
    <row r="452">
      <c r="A452" s="44"/>
    </row>
    <row r="453">
      <c r="A453" s="44"/>
    </row>
    <row r="454">
      <c r="A454" s="44"/>
    </row>
    <row r="455">
      <c r="A455" s="44"/>
    </row>
    <row r="456">
      <c r="A456" s="44"/>
    </row>
    <row r="457">
      <c r="A457" s="44"/>
    </row>
    <row r="458">
      <c r="A458" s="44"/>
    </row>
    <row r="459">
      <c r="A459" s="44"/>
    </row>
    <row r="460">
      <c r="A460" s="44"/>
    </row>
    <row r="461">
      <c r="A461" s="44"/>
    </row>
    <row r="462">
      <c r="A462" s="44"/>
    </row>
    <row r="463">
      <c r="A463" s="44"/>
    </row>
    <row r="464">
      <c r="A464" s="44"/>
    </row>
    <row r="465">
      <c r="A465" s="44"/>
    </row>
    <row r="466">
      <c r="A466" s="44"/>
    </row>
    <row r="467">
      <c r="A467" s="44"/>
    </row>
    <row r="468">
      <c r="A468" s="44"/>
    </row>
    <row r="469">
      <c r="A469" s="44"/>
    </row>
    <row r="470">
      <c r="A470" s="44"/>
    </row>
    <row r="471">
      <c r="A471" s="44"/>
    </row>
    <row r="472">
      <c r="A472" s="44"/>
    </row>
    <row r="473">
      <c r="A473" s="44"/>
    </row>
    <row r="474">
      <c r="A474" s="44"/>
    </row>
    <row r="475">
      <c r="A475" s="44"/>
    </row>
    <row r="476">
      <c r="A476" s="44"/>
    </row>
    <row r="477">
      <c r="A477" s="44"/>
    </row>
    <row r="478">
      <c r="A478" s="44"/>
    </row>
    <row r="479">
      <c r="A479" s="44"/>
    </row>
    <row r="480">
      <c r="A480" s="44"/>
    </row>
    <row r="481">
      <c r="A481" s="44"/>
    </row>
    <row r="482">
      <c r="A482" s="44"/>
    </row>
    <row r="483">
      <c r="A483" s="44"/>
    </row>
    <row r="484">
      <c r="A484" s="44"/>
    </row>
    <row r="485">
      <c r="A485" s="44"/>
    </row>
    <row r="486">
      <c r="A486" s="44"/>
    </row>
    <row r="487">
      <c r="A487" s="44"/>
    </row>
    <row r="488">
      <c r="A488" s="44"/>
    </row>
    <row r="489">
      <c r="A489" s="44"/>
    </row>
    <row r="490">
      <c r="A490" s="44"/>
    </row>
    <row r="491">
      <c r="A491" s="44"/>
    </row>
    <row r="492">
      <c r="A492" s="44"/>
    </row>
    <row r="493">
      <c r="A493" s="44"/>
    </row>
    <row r="494">
      <c r="A494" s="44"/>
    </row>
    <row r="495">
      <c r="A495" s="44"/>
    </row>
    <row r="496">
      <c r="A496" s="44"/>
    </row>
    <row r="497">
      <c r="A497" s="44"/>
    </row>
    <row r="498">
      <c r="A498" s="44"/>
    </row>
    <row r="499">
      <c r="A499" s="44"/>
    </row>
    <row r="500">
      <c r="A500" s="44"/>
    </row>
    <row r="501">
      <c r="A501" s="44"/>
    </row>
    <row r="502">
      <c r="A502" s="44"/>
    </row>
    <row r="503">
      <c r="A503" s="44"/>
    </row>
    <row r="504">
      <c r="A504" s="44"/>
    </row>
    <row r="505">
      <c r="A505" s="44"/>
    </row>
    <row r="506">
      <c r="A506" s="44"/>
    </row>
    <row r="507">
      <c r="A507" s="44"/>
    </row>
    <row r="508">
      <c r="A508" s="44"/>
    </row>
    <row r="509">
      <c r="A509" s="44"/>
    </row>
    <row r="510">
      <c r="A510" s="44"/>
    </row>
    <row r="511">
      <c r="A511" s="44"/>
    </row>
    <row r="512">
      <c r="A512" s="44"/>
    </row>
    <row r="513">
      <c r="A513" s="44"/>
    </row>
    <row r="514">
      <c r="A514" s="44"/>
    </row>
    <row r="515">
      <c r="A515" s="44"/>
    </row>
    <row r="516">
      <c r="A516" s="44"/>
    </row>
    <row r="517">
      <c r="A517" s="44"/>
    </row>
    <row r="518">
      <c r="A518" s="44"/>
    </row>
    <row r="519">
      <c r="A519" s="44"/>
    </row>
    <row r="520">
      <c r="A520" s="44"/>
    </row>
    <row r="521">
      <c r="A521" s="44"/>
    </row>
    <row r="522">
      <c r="A522" s="44"/>
    </row>
    <row r="523">
      <c r="A523" s="44"/>
    </row>
    <row r="524">
      <c r="A524" s="44"/>
    </row>
    <row r="525">
      <c r="A525" s="44"/>
    </row>
    <row r="526">
      <c r="A526" s="44"/>
    </row>
    <row r="527">
      <c r="A527" s="44"/>
    </row>
    <row r="528">
      <c r="A528" s="44"/>
    </row>
    <row r="529">
      <c r="A529" s="44"/>
    </row>
    <row r="530">
      <c r="A530" s="44"/>
    </row>
    <row r="531">
      <c r="A531" s="44"/>
    </row>
    <row r="532">
      <c r="A532" s="44"/>
    </row>
    <row r="533">
      <c r="A533" s="44"/>
    </row>
    <row r="534">
      <c r="A534" s="44"/>
    </row>
    <row r="535">
      <c r="A535" s="44"/>
    </row>
    <row r="536">
      <c r="A536" s="44"/>
    </row>
    <row r="537">
      <c r="A537" s="44"/>
    </row>
    <row r="538">
      <c r="A538" s="44"/>
    </row>
    <row r="539">
      <c r="A539" s="44"/>
    </row>
    <row r="540">
      <c r="A540" s="44"/>
    </row>
    <row r="541">
      <c r="A541" s="44"/>
    </row>
    <row r="542">
      <c r="A542" s="44"/>
    </row>
    <row r="543">
      <c r="A543" s="44"/>
    </row>
    <row r="544">
      <c r="A544" s="44"/>
    </row>
    <row r="545">
      <c r="A545" s="44"/>
    </row>
    <row r="546">
      <c r="A546" s="44"/>
    </row>
    <row r="547">
      <c r="A547" s="44"/>
    </row>
    <row r="548">
      <c r="A548" s="44"/>
    </row>
    <row r="549">
      <c r="A549" s="44"/>
    </row>
    <row r="550">
      <c r="A550" s="44"/>
    </row>
    <row r="551">
      <c r="A551" s="44"/>
    </row>
    <row r="552">
      <c r="A552" s="44"/>
    </row>
    <row r="553">
      <c r="A553" s="44"/>
    </row>
    <row r="554">
      <c r="A554" s="44"/>
    </row>
    <row r="555">
      <c r="A555" s="44"/>
    </row>
    <row r="556">
      <c r="A556" s="44"/>
    </row>
    <row r="557">
      <c r="A557" s="44"/>
    </row>
    <row r="558">
      <c r="A558" s="44"/>
    </row>
    <row r="559">
      <c r="A559" s="44"/>
    </row>
    <row r="560">
      <c r="A560" s="44"/>
    </row>
    <row r="561">
      <c r="A561" s="44"/>
    </row>
    <row r="562">
      <c r="A562" s="44"/>
    </row>
    <row r="563">
      <c r="A563" s="44"/>
    </row>
    <row r="564">
      <c r="A564" s="44"/>
    </row>
    <row r="565">
      <c r="A565" s="44"/>
    </row>
    <row r="566">
      <c r="A566" s="44"/>
    </row>
    <row r="567">
      <c r="A567" s="44"/>
    </row>
    <row r="568">
      <c r="A568" s="44"/>
    </row>
    <row r="569">
      <c r="A569" s="44"/>
    </row>
    <row r="570">
      <c r="A570" s="44"/>
    </row>
    <row r="571">
      <c r="A571" s="44"/>
    </row>
    <row r="572">
      <c r="A572" s="44"/>
    </row>
    <row r="573">
      <c r="A573" s="44"/>
    </row>
    <row r="574">
      <c r="A574" s="44"/>
    </row>
    <row r="575">
      <c r="A575" s="44"/>
    </row>
    <row r="576">
      <c r="A576" s="44"/>
    </row>
    <row r="577">
      <c r="A577" s="44"/>
    </row>
    <row r="578">
      <c r="A578" s="44"/>
    </row>
    <row r="579">
      <c r="A579" s="44"/>
    </row>
    <row r="580">
      <c r="A580" s="44"/>
    </row>
    <row r="581">
      <c r="A581" s="44"/>
    </row>
    <row r="582">
      <c r="A582" s="44"/>
    </row>
    <row r="583">
      <c r="A583" s="44"/>
    </row>
    <row r="584">
      <c r="A584" s="44"/>
    </row>
    <row r="585">
      <c r="A585" s="44"/>
    </row>
    <row r="586">
      <c r="A586" s="44"/>
    </row>
    <row r="587">
      <c r="A587" s="44"/>
    </row>
    <row r="588">
      <c r="A588" s="44"/>
    </row>
    <row r="589">
      <c r="A589" s="44"/>
    </row>
    <row r="590">
      <c r="A590" s="44"/>
    </row>
    <row r="591">
      <c r="A591" s="44"/>
    </row>
    <row r="592">
      <c r="A592" s="44"/>
    </row>
    <row r="593">
      <c r="A593" s="44"/>
    </row>
    <row r="594">
      <c r="A594" s="44"/>
    </row>
    <row r="595">
      <c r="A595" s="44"/>
    </row>
    <row r="596">
      <c r="A596" s="44"/>
    </row>
    <row r="597">
      <c r="A597" s="44"/>
    </row>
    <row r="598">
      <c r="A598" s="44"/>
    </row>
    <row r="599">
      <c r="A599" s="44"/>
    </row>
    <row r="600">
      <c r="A600" s="44"/>
    </row>
    <row r="601">
      <c r="A601" s="44"/>
    </row>
    <row r="602">
      <c r="A602" s="44"/>
    </row>
    <row r="603">
      <c r="A603" s="44"/>
    </row>
    <row r="604">
      <c r="A604" s="44"/>
    </row>
    <row r="605">
      <c r="A605" s="44"/>
    </row>
    <row r="606">
      <c r="A606" s="44"/>
    </row>
    <row r="607">
      <c r="A607" s="44"/>
    </row>
    <row r="608">
      <c r="A608" s="44"/>
    </row>
    <row r="609">
      <c r="A609" s="44"/>
    </row>
    <row r="610">
      <c r="A610" s="44"/>
    </row>
    <row r="611">
      <c r="A611" s="44"/>
    </row>
    <row r="612">
      <c r="A612" s="44"/>
    </row>
    <row r="613">
      <c r="A613" s="44"/>
    </row>
    <row r="614">
      <c r="A614" s="44"/>
    </row>
    <row r="615">
      <c r="A615" s="44"/>
    </row>
    <row r="616">
      <c r="A616" s="44"/>
    </row>
    <row r="617">
      <c r="A617" s="44"/>
    </row>
    <row r="618">
      <c r="A618" s="44"/>
    </row>
    <row r="619">
      <c r="A619" s="44"/>
    </row>
    <row r="620">
      <c r="A620" s="44"/>
    </row>
    <row r="621">
      <c r="A621" s="44"/>
    </row>
    <row r="622">
      <c r="A622" s="44"/>
    </row>
    <row r="623">
      <c r="A623" s="44"/>
    </row>
    <row r="624">
      <c r="A624" s="44"/>
    </row>
    <row r="625">
      <c r="A625" s="44"/>
    </row>
    <row r="626">
      <c r="A626" s="44"/>
    </row>
    <row r="627">
      <c r="A627" s="44"/>
    </row>
    <row r="628">
      <c r="A628" s="44"/>
    </row>
    <row r="629">
      <c r="A629" s="44"/>
    </row>
    <row r="630">
      <c r="A630" s="44"/>
    </row>
    <row r="631">
      <c r="A631" s="44"/>
    </row>
    <row r="632">
      <c r="A632" s="44"/>
    </row>
    <row r="633">
      <c r="A633" s="44"/>
    </row>
    <row r="634">
      <c r="A634" s="44"/>
    </row>
    <row r="635">
      <c r="A635" s="44"/>
    </row>
    <row r="636">
      <c r="A636" s="44"/>
    </row>
    <row r="637">
      <c r="A637" s="44"/>
    </row>
    <row r="638">
      <c r="A638" s="44"/>
    </row>
    <row r="639">
      <c r="A639" s="44"/>
    </row>
    <row r="640">
      <c r="A640" s="44"/>
    </row>
    <row r="641">
      <c r="A641" s="44"/>
    </row>
    <row r="642">
      <c r="A642" s="44"/>
    </row>
    <row r="643">
      <c r="A643" s="44"/>
    </row>
    <row r="644">
      <c r="A644" s="44"/>
    </row>
    <row r="645">
      <c r="A645" s="44"/>
    </row>
    <row r="646">
      <c r="A646" s="44"/>
    </row>
    <row r="647">
      <c r="A647" s="44"/>
    </row>
    <row r="648">
      <c r="A648" s="44"/>
    </row>
    <row r="649">
      <c r="A649" s="44"/>
    </row>
    <row r="650">
      <c r="A650" s="44"/>
    </row>
    <row r="651">
      <c r="A651" s="44"/>
    </row>
    <row r="652">
      <c r="A652" s="44"/>
    </row>
    <row r="653">
      <c r="A653" s="44"/>
    </row>
    <row r="654">
      <c r="A654" s="44"/>
    </row>
    <row r="655">
      <c r="A655" s="44"/>
    </row>
    <row r="656">
      <c r="A656" s="44"/>
    </row>
    <row r="657">
      <c r="A657" s="44"/>
    </row>
    <row r="658">
      <c r="A658" s="44"/>
    </row>
    <row r="659">
      <c r="A659" s="44"/>
    </row>
    <row r="660">
      <c r="A660" s="44"/>
    </row>
    <row r="661">
      <c r="A661" s="44"/>
    </row>
    <row r="662">
      <c r="A662" s="44"/>
    </row>
    <row r="663">
      <c r="A663" s="44"/>
    </row>
    <row r="664">
      <c r="A664" s="44"/>
    </row>
    <row r="665">
      <c r="A665" s="44"/>
    </row>
    <row r="666">
      <c r="A666" s="44"/>
    </row>
    <row r="667">
      <c r="A667" s="44"/>
    </row>
    <row r="668">
      <c r="A668" s="44"/>
    </row>
    <row r="669">
      <c r="A669" s="44"/>
    </row>
    <row r="670">
      <c r="A670" s="44"/>
    </row>
    <row r="671">
      <c r="A671" s="44"/>
    </row>
    <row r="672">
      <c r="A672" s="44"/>
    </row>
    <row r="673">
      <c r="A673" s="44"/>
    </row>
    <row r="674">
      <c r="A674" s="44"/>
    </row>
    <row r="675">
      <c r="A675" s="44"/>
    </row>
    <row r="676">
      <c r="A676" s="44"/>
    </row>
    <row r="677">
      <c r="A677" s="44"/>
    </row>
    <row r="678">
      <c r="A678" s="44"/>
    </row>
    <row r="679">
      <c r="A679" s="44"/>
    </row>
    <row r="680">
      <c r="A680" s="44"/>
    </row>
    <row r="681">
      <c r="A681" s="44"/>
    </row>
    <row r="682">
      <c r="A682" s="44"/>
    </row>
    <row r="683">
      <c r="A683" s="44"/>
    </row>
    <row r="684">
      <c r="A684" s="44"/>
    </row>
    <row r="685">
      <c r="A685" s="44"/>
    </row>
    <row r="686">
      <c r="A686" s="44"/>
    </row>
    <row r="687">
      <c r="A687" s="44"/>
    </row>
    <row r="688">
      <c r="A688" s="44"/>
    </row>
    <row r="689">
      <c r="A689" s="44"/>
    </row>
    <row r="690">
      <c r="A690" s="44"/>
    </row>
    <row r="691">
      <c r="A691" s="44"/>
    </row>
    <row r="692">
      <c r="A692" s="44"/>
    </row>
    <row r="693">
      <c r="A693" s="44"/>
    </row>
    <row r="694">
      <c r="A694" s="44"/>
    </row>
    <row r="695">
      <c r="A695" s="44"/>
    </row>
    <row r="696">
      <c r="A696" s="44"/>
    </row>
    <row r="697">
      <c r="A697" s="44"/>
    </row>
    <row r="698">
      <c r="A698" s="44"/>
    </row>
    <row r="699">
      <c r="A699" s="44"/>
    </row>
    <row r="700">
      <c r="A700" s="44"/>
    </row>
    <row r="701">
      <c r="A701" s="44"/>
    </row>
    <row r="702">
      <c r="A702" s="44"/>
    </row>
    <row r="703">
      <c r="A703" s="44"/>
    </row>
    <row r="704">
      <c r="A704" s="44"/>
    </row>
    <row r="705">
      <c r="A705" s="44"/>
    </row>
    <row r="706">
      <c r="A706" s="44"/>
    </row>
    <row r="707">
      <c r="A707" s="44"/>
    </row>
    <row r="708">
      <c r="A708" s="44"/>
    </row>
    <row r="709">
      <c r="A709" s="44"/>
    </row>
    <row r="710">
      <c r="A710" s="44"/>
    </row>
    <row r="711">
      <c r="A711" s="44"/>
    </row>
    <row r="712">
      <c r="A712" s="44"/>
    </row>
    <row r="713">
      <c r="A713" s="44"/>
    </row>
    <row r="714">
      <c r="A714" s="44"/>
    </row>
    <row r="715">
      <c r="A715" s="44"/>
    </row>
    <row r="716">
      <c r="A716" s="44"/>
    </row>
    <row r="717">
      <c r="A717" s="44"/>
    </row>
    <row r="718">
      <c r="A718" s="44"/>
    </row>
    <row r="719">
      <c r="A719" s="44"/>
    </row>
    <row r="720">
      <c r="A720" s="44"/>
    </row>
    <row r="721">
      <c r="A721" s="44"/>
    </row>
    <row r="722">
      <c r="A722" s="44"/>
    </row>
    <row r="723">
      <c r="A723" s="44"/>
    </row>
    <row r="724">
      <c r="A724" s="44"/>
    </row>
    <row r="725">
      <c r="A725" s="44"/>
    </row>
    <row r="726">
      <c r="A726" s="44"/>
    </row>
    <row r="727">
      <c r="A727" s="44"/>
    </row>
    <row r="728">
      <c r="A728" s="44"/>
    </row>
    <row r="729">
      <c r="A729" s="44"/>
    </row>
    <row r="730">
      <c r="A730" s="44"/>
    </row>
    <row r="731">
      <c r="A731" s="44"/>
    </row>
    <row r="732">
      <c r="A732" s="44"/>
    </row>
    <row r="733">
      <c r="A733" s="44"/>
    </row>
    <row r="734">
      <c r="A734" s="44"/>
    </row>
    <row r="735">
      <c r="A735" s="44"/>
    </row>
    <row r="736">
      <c r="A736" s="44"/>
    </row>
    <row r="737">
      <c r="A737" s="44"/>
    </row>
    <row r="738">
      <c r="A738" s="44"/>
    </row>
    <row r="739">
      <c r="A739" s="44"/>
    </row>
    <row r="740">
      <c r="A740" s="44"/>
    </row>
    <row r="741">
      <c r="A741" s="44"/>
    </row>
    <row r="742">
      <c r="A742" s="44"/>
    </row>
    <row r="743">
      <c r="A743" s="44"/>
    </row>
    <row r="744">
      <c r="A744" s="44"/>
    </row>
    <row r="745">
      <c r="A745" s="44"/>
    </row>
    <row r="746">
      <c r="A746" s="44"/>
    </row>
    <row r="747">
      <c r="A747" s="44"/>
    </row>
    <row r="748">
      <c r="A748" s="44"/>
    </row>
    <row r="749">
      <c r="A749" s="44"/>
    </row>
    <row r="750">
      <c r="A750" s="44"/>
    </row>
    <row r="751">
      <c r="A751" s="44"/>
    </row>
    <row r="752">
      <c r="A752" s="44"/>
    </row>
    <row r="753">
      <c r="A753" s="44"/>
    </row>
    <row r="754">
      <c r="A754" s="44"/>
    </row>
    <row r="755">
      <c r="A755" s="44"/>
    </row>
    <row r="756">
      <c r="A756" s="44"/>
    </row>
    <row r="757">
      <c r="A757" s="44"/>
    </row>
    <row r="758">
      <c r="A758" s="44"/>
    </row>
    <row r="759">
      <c r="A759" s="44"/>
    </row>
    <row r="760">
      <c r="A760" s="44"/>
    </row>
    <row r="761">
      <c r="A761" s="44"/>
    </row>
    <row r="762">
      <c r="A762" s="44"/>
    </row>
    <row r="763">
      <c r="A763" s="44"/>
    </row>
    <row r="764">
      <c r="A764" s="44"/>
    </row>
    <row r="765">
      <c r="A765" s="44"/>
    </row>
    <row r="766">
      <c r="A766" s="44"/>
    </row>
    <row r="767">
      <c r="A767" s="44"/>
    </row>
    <row r="768">
      <c r="A768" s="44"/>
    </row>
    <row r="769">
      <c r="A769" s="44"/>
    </row>
    <row r="770">
      <c r="A770" s="44"/>
    </row>
    <row r="771">
      <c r="A771" s="44"/>
    </row>
    <row r="772">
      <c r="A772" s="44"/>
    </row>
    <row r="773">
      <c r="A773" s="44"/>
    </row>
    <row r="774">
      <c r="A774" s="44"/>
    </row>
    <row r="775">
      <c r="A775" s="44"/>
    </row>
    <row r="776">
      <c r="A776" s="44"/>
    </row>
    <row r="777">
      <c r="A777" s="44"/>
    </row>
    <row r="778">
      <c r="A778" s="44"/>
    </row>
    <row r="779">
      <c r="A779" s="44"/>
    </row>
    <row r="780">
      <c r="A780" s="44"/>
    </row>
    <row r="781">
      <c r="A781" s="44"/>
    </row>
    <row r="782">
      <c r="A782" s="44"/>
    </row>
    <row r="783">
      <c r="A783" s="44"/>
    </row>
    <row r="784">
      <c r="A784" s="44"/>
    </row>
    <row r="785">
      <c r="A785" s="44"/>
    </row>
    <row r="786">
      <c r="A786" s="44"/>
    </row>
    <row r="787">
      <c r="A787" s="44"/>
    </row>
    <row r="788">
      <c r="A788" s="44"/>
    </row>
    <row r="789">
      <c r="A789" s="44"/>
    </row>
    <row r="790">
      <c r="A790" s="44"/>
    </row>
    <row r="791">
      <c r="A791" s="44"/>
    </row>
    <row r="792">
      <c r="A792" s="44"/>
    </row>
    <row r="793">
      <c r="A793" s="44"/>
    </row>
    <row r="794">
      <c r="A794" s="44"/>
    </row>
    <row r="795">
      <c r="A795" s="44"/>
    </row>
    <row r="796">
      <c r="A796" s="44"/>
    </row>
    <row r="797">
      <c r="A797" s="44"/>
    </row>
    <row r="798">
      <c r="A798" s="44"/>
    </row>
    <row r="799">
      <c r="A799" s="44"/>
    </row>
    <row r="800">
      <c r="A800" s="44"/>
    </row>
    <row r="801">
      <c r="A801" s="44"/>
    </row>
    <row r="802">
      <c r="A802" s="44"/>
    </row>
    <row r="803">
      <c r="A803" s="44"/>
    </row>
    <row r="804">
      <c r="A804" s="44"/>
    </row>
    <row r="805">
      <c r="A805" s="44"/>
    </row>
    <row r="806">
      <c r="A806" s="44"/>
    </row>
    <row r="807">
      <c r="A807" s="44"/>
    </row>
    <row r="808">
      <c r="A808" s="44"/>
    </row>
    <row r="809">
      <c r="A809" s="44"/>
    </row>
    <row r="810">
      <c r="A810" s="44"/>
    </row>
    <row r="811">
      <c r="A811" s="44"/>
    </row>
    <row r="812">
      <c r="A812" s="44"/>
    </row>
    <row r="813">
      <c r="A813" s="44"/>
    </row>
    <row r="814">
      <c r="A814" s="44"/>
    </row>
    <row r="815">
      <c r="A815" s="44"/>
    </row>
    <row r="816">
      <c r="A816" s="44"/>
    </row>
    <row r="817">
      <c r="A817" s="44"/>
    </row>
    <row r="818">
      <c r="A818" s="44"/>
    </row>
    <row r="819">
      <c r="A819" s="44"/>
    </row>
    <row r="820">
      <c r="A820" s="44"/>
    </row>
    <row r="821">
      <c r="A821" s="44"/>
    </row>
    <row r="822">
      <c r="A822" s="44"/>
    </row>
    <row r="823">
      <c r="A823" s="44"/>
    </row>
    <row r="824">
      <c r="A824" s="44"/>
    </row>
    <row r="825">
      <c r="A825" s="44"/>
    </row>
    <row r="826">
      <c r="A826" s="44"/>
    </row>
    <row r="827">
      <c r="A827" s="44"/>
    </row>
    <row r="828">
      <c r="A828" s="44"/>
    </row>
    <row r="829">
      <c r="A829" s="44"/>
    </row>
    <row r="830">
      <c r="A830" s="44"/>
    </row>
    <row r="831">
      <c r="A831" s="44"/>
    </row>
    <row r="832">
      <c r="A832" s="44"/>
    </row>
    <row r="833">
      <c r="A833" s="44"/>
    </row>
    <row r="834">
      <c r="A834" s="44"/>
    </row>
    <row r="835">
      <c r="A835" s="44"/>
    </row>
    <row r="836">
      <c r="A836" s="44"/>
    </row>
    <row r="837">
      <c r="A837" s="44"/>
    </row>
    <row r="838">
      <c r="A838" s="44"/>
    </row>
    <row r="839">
      <c r="A839" s="44"/>
    </row>
    <row r="840">
      <c r="A840" s="44"/>
    </row>
    <row r="841">
      <c r="A841" s="44"/>
    </row>
    <row r="842">
      <c r="A842" s="44"/>
    </row>
    <row r="843">
      <c r="A843" s="44"/>
    </row>
    <row r="844">
      <c r="A844" s="44"/>
    </row>
    <row r="845">
      <c r="A845" s="44"/>
    </row>
    <row r="846">
      <c r="A846" s="44"/>
    </row>
    <row r="847">
      <c r="A847" s="44"/>
    </row>
    <row r="848">
      <c r="A848" s="44"/>
    </row>
    <row r="849">
      <c r="A849" s="44"/>
    </row>
    <row r="850">
      <c r="A850" s="44"/>
    </row>
    <row r="851">
      <c r="A851" s="44"/>
    </row>
    <row r="852">
      <c r="A852" s="44"/>
    </row>
    <row r="853">
      <c r="A853" s="44"/>
    </row>
    <row r="854">
      <c r="A854" s="44"/>
    </row>
    <row r="855">
      <c r="A855" s="44"/>
    </row>
    <row r="856">
      <c r="A856" s="44"/>
    </row>
    <row r="857">
      <c r="A857" s="44"/>
    </row>
    <row r="858">
      <c r="A858" s="44"/>
    </row>
    <row r="859">
      <c r="A859" s="44"/>
    </row>
    <row r="860">
      <c r="A860" s="44"/>
    </row>
    <row r="861">
      <c r="A861" s="44"/>
    </row>
    <row r="862">
      <c r="A862" s="44"/>
    </row>
    <row r="863">
      <c r="A863" s="44"/>
    </row>
    <row r="864">
      <c r="A864" s="44"/>
    </row>
    <row r="865">
      <c r="A865" s="44"/>
    </row>
    <row r="866">
      <c r="A866" s="44"/>
    </row>
    <row r="867">
      <c r="A867" s="44"/>
    </row>
    <row r="868">
      <c r="A868" s="44"/>
    </row>
    <row r="869">
      <c r="A869" s="44"/>
    </row>
    <row r="870">
      <c r="A870" s="44"/>
    </row>
    <row r="871">
      <c r="A871" s="44"/>
    </row>
    <row r="872">
      <c r="A872" s="44"/>
    </row>
    <row r="873">
      <c r="A873" s="44"/>
    </row>
    <row r="874">
      <c r="A874" s="44"/>
    </row>
    <row r="875">
      <c r="A875" s="44"/>
    </row>
    <row r="876">
      <c r="A876" s="44"/>
    </row>
    <row r="877">
      <c r="A877" s="44"/>
    </row>
    <row r="878">
      <c r="A878" s="44"/>
    </row>
    <row r="879">
      <c r="A879" s="44"/>
    </row>
    <row r="880">
      <c r="A880" s="44"/>
    </row>
    <row r="881">
      <c r="A881" s="44"/>
    </row>
    <row r="882">
      <c r="A882" s="44"/>
    </row>
    <row r="883">
      <c r="A883" s="44"/>
    </row>
    <row r="884">
      <c r="A884" s="44"/>
    </row>
    <row r="885">
      <c r="A885" s="44"/>
    </row>
    <row r="886">
      <c r="A886" s="44"/>
    </row>
    <row r="887">
      <c r="A887" s="44"/>
    </row>
    <row r="888">
      <c r="A888" s="44"/>
    </row>
    <row r="889">
      <c r="A889" s="44"/>
    </row>
    <row r="890">
      <c r="A890" s="44"/>
    </row>
    <row r="891">
      <c r="A891" s="44"/>
    </row>
    <row r="892">
      <c r="A892" s="44"/>
    </row>
    <row r="893">
      <c r="A893" s="44"/>
    </row>
    <row r="894">
      <c r="A894" s="44"/>
    </row>
    <row r="895">
      <c r="A895" s="44"/>
    </row>
    <row r="896">
      <c r="A896" s="44"/>
    </row>
    <row r="897">
      <c r="A897" s="44"/>
    </row>
    <row r="898">
      <c r="A898" s="44"/>
    </row>
    <row r="899">
      <c r="A899" s="44"/>
    </row>
    <row r="900">
      <c r="A900" s="44"/>
    </row>
    <row r="901">
      <c r="A901" s="44"/>
    </row>
    <row r="902">
      <c r="A902" s="44"/>
    </row>
    <row r="903">
      <c r="A903" s="44"/>
    </row>
    <row r="904">
      <c r="A904" s="44"/>
    </row>
    <row r="905">
      <c r="A905" s="44"/>
    </row>
    <row r="906">
      <c r="A906" s="44"/>
    </row>
    <row r="907">
      <c r="A907" s="44"/>
    </row>
    <row r="908">
      <c r="A908" s="44"/>
    </row>
    <row r="909">
      <c r="A909" s="44"/>
    </row>
    <row r="910">
      <c r="A910" s="44"/>
    </row>
    <row r="911">
      <c r="A911" s="44"/>
    </row>
    <row r="912">
      <c r="A912" s="44"/>
    </row>
    <row r="913">
      <c r="A913" s="44"/>
    </row>
    <row r="914">
      <c r="A914" s="44"/>
    </row>
    <row r="915">
      <c r="A915" s="44"/>
    </row>
    <row r="916">
      <c r="A916" s="44"/>
    </row>
    <row r="917">
      <c r="A917" s="44"/>
    </row>
    <row r="918">
      <c r="A918" s="44"/>
    </row>
    <row r="919">
      <c r="A919" s="44"/>
    </row>
    <row r="920">
      <c r="A920" s="44"/>
    </row>
    <row r="921">
      <c r="A921" s="44"/>
    </row>
    <row r="922">
      <c r="A922" s="44"/>
    </row>
    <row r="923">
      <c r="A923" s="44"/>
    </row>
    <row r="924">
      <c r="A924" s="44"/>
    </row>
    <row r="925">
      <c r="A925" s="44"/>
    </row>
    <row r="926">
      <c r="A926" s="44"/>
    </row>
    <row r="927">
      <c r="A927" s="44"/>
    </row>
    <row r="928">
      <c r="A928" s="44"/>
    </row>
    <row r="929">
      <c r="A929" s="44"/>
    </row>
    <row r="930">
      <c r="A930" s="44"/>
    </row>
    <row r="931">
      <c r="A931" s="44"/>
    </row>
    <row r="932">
      <c r="A932" s="44"/>
    </row>
    <row r="933">
      <c r="A933" s="44"/>
    </row>
    <row r="934">
      <c r="A934" s="44"/>
    </row>
    <row r="935">
      <c r="A935" s="44"/>
    </row>
    <row r="936">
      <c r="A936" s="44"/>
    </row>
    <row r="937">
      <c r="A937" s="44"/>
    </row>
    <row r="938">
      <c r="A938" s="44"/>
    </row>
    <row r="939">
      <c r="A939" s="44"/>
    </row>
    <row r="940">
      <c r="A940" s="44"/>
    </row>
    <row r="941">
      <c r="A941" s="44"/>
    </row>
    <row r="942">
      <c r="A942" s="44"/>
    </row>
    <row r="943">
      <c r="A943" s="44"/>
    </row>
    <row r="944">
      <c r="A944" s="44"/>
    </row>
    <row r="945">
      <c r="A945" s="44"/>
    </row>
    <row r="946">
      <c r="A946" s="44"/>
    </row>
    <row r="947">
      <c r="A947" s="44"/>
    </row>
    <row r="948">
      <c r="A948" s="44"/>
    </row>
    <row r="949">
      <c r="A949" s="44"/>
    </row>
    <row r="950">
      <c r="A950" s="44"/>
    </row>
    <row r="951">
      <c r="A951" s="44"/>
    </row>
    <row r="952">
      <c r="A952" s="44"/>
    </row>
    <row r="953">
      <c r="A953" s="44"/>
    </row>
    <row r="954">
      <c r="A954" s="44"/>
    </row>
    <row r="955">
      <c r="A955" s="44"/>
    </row>
    <row r="956">
      <c r="A956" s="44"/>
    </row>
    <row r="957">
      <c r="A957" s="44"/>
    </row>
    <row r="958">
      <c r="A958" s="44"/>
    </row>
    <row r="959">
      <c r="A959" s="44"/>
    </row>
    <row r="960">
      <c r="A960" s="44"/>
    </row>
    <row r="961">
      <c r="A961" s="44"/>
    </row>
    <row r="962">
      <c r="A962" s="44"/>
    </row>
    <row r="963">
      <c r="A963" s="44"/>
    </row>
    <row r="964">
      <c r="A964" s="44"/>
    </row>
    <row r="965">
      <c r="A965" s="44"/>
    </row>
    <row r="966">
      <c r="A966" s="44"/>
    </row>
    <row r="967">
      <c r="A967" s="44"/>
    </row>
    <row r="968">
      <c r="A968" s="44"/>
    </row>
    <row r="969">
      <c r="A969" s="44"/>
    </row>
    <row r="970">
      <c r="A970" s="44"/>
    </row>
    <row r="971">
      <c r="A971" s="44"/>
    </row>
    <row r="972">
      <c r="A972" s="44"/>
    </row>
    <row r="973">
      <c r="A973" s="44"/>
    </row>
    <row r="974">
      <c r="A974" s="44"/>
    </row>
    <row r="975">
      <c r="A975" s="44"/>
    </row>
    <row r="976">
      <c r="A976" s="44"/>
    </row>
    <row r="977">
      <c r="A977" s="44"/>
    </row>
    <row r="978">
      <c r="A978" s="44"/>
    </row>
    <row r="979">
      <c r="A979" s="44"/>
    </row>
    <row r="980">
      <c r="A980" s="44"/>
    </row>
    <row r="981">
      <c r="A981" s="44"/>
    </row>
    <row r="982">
      <c r="A982" s="44"/>
    </row>
    <row r="983">
      <c r="A983" s="44"/>
    </row>
    <row r="984">
      <c r="A984" s="44"/>
    </row>
    <row r="985">
      <c r="A985" s="44"/>
    </row>
    <row r="986">
      <c r="A986" s="44"/>
    </row>
    <row r="987">
      <c r="A987" s="44"/>
    </row>
    <row r="988">
      <c r="A988" s="44"/>
    </row>
    <row r="989">
      <c r="A989" s="44"/>
    </row>
    <row r="990">
      <c r="A990" s="44"/>
    </row>
    <row r="991">
      <c r="A991" s="44"/>
    </row>
    <row r="992">
      <c r="A992" s="44"/>
    </row>
    <row r="993">
      <c r="A993" s="44"/>
    </row>
    <row r="994">
      <c r="A994" s="44"/>
    </row>
    <row r="995">
      <c r="A995" s="44"/>
    </row>
    <row r="996">
      <c r="A996" s="44"/>
    </row>
    <row r="997">
      <c r="A997" s="44"/>
    </row>
    <row r="998">
      <c r="A998" s="44"/>
    </row>
    <row r="999">
      <c r="A999" s="44"/>
    </row>
    <row r="1000">
      <c r="A1000" s="4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17.33"/>
    <col customWidth="1" min="3" max="3" width="29.44"/>
    <col customWidth="1" min="4" max="4" width="66.0"/>
    <col customWidth="1" min="5" max="5" width="17.33"/>
    <col customWidth="1" min="6" max="6" width="30.11"/>
    <col customWidth="1" min="7" max="7" width="21.33"/>
    <col customWidth="1" min="8" max="8" width="28.11"/>
    <col customWidth="1" min="9" max="9" width="14.44"/>
    <col customWidth="1" min="10" max="10" width="35.89"/>
  </cols>
  <sheetData>
    <row r="1">
      <c r="A1" s="43"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279.75" customHeight="1">
      <c r="A2" s="41" t="s">
        <v>599</v>
      </c>
      <c r="B2" s="24" t="s">
        <v>600</v>
      </c>
      <c r="C2" s="24" t="s">
        <v>601</v>
      </c>
      <c r="D2" s="24" t="s">
        <v>602</v>
      </c>
      <c r="E2" s="24" t="s">
        <v>603</v>
      </c>
      <c r="F2" s="24" t="s">
        <v>595</v>
      </c>
      <c r="G2" s="24" t="s">
        <v>604</v>
      </c>
      <c r="H2" s="24" t="s">
        <v>597</v>
      </c>
      <c r="I2" s="27" t="s">
        <v>389</v>
      </c>
      <c r="J2" s="24" t="s">
        <v>605</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34.78"/>
  </cols>
  <sheetData>
    <row r="1">
      <c r="A1" s="45"/>
      <c r="B1" s="42" t="s">
        <v>606</v>
      </c>
      <c r="C1" s="45"/>
      <c r="E1" s="45"/>
      <c r="F1" s="45"/>
      <c r="I1" s="46"/>
      <c r="J1" s="46"/>
      <c r="K1" s="46"/>
      <c r="L1" s="46"/>
      <c r="M1" s="46"/>
      <c r="N1" s="46"/>
      <c r="O1" s="46"/>
      <c r="P1" s="46"/>
      <c r="Q1" s="46"/>
      <c r="R1" s="46"/>
      <c r="S1" s="46"/>
      <c r="T1" s="46"/>
      <c r="U1" s="46"/>
      <c r="V1" s="46"/>
      <c r="W1" s="46"/>
      <c r="X1" s="46"/>
      <c r="Y1" s="46"/>
      <c r="Z1" s="46"/>
      <c r="AA1" s="46"/>
      <c r="AB1" s="46"/>
    </row>
    <row r="2">
      <c r="A2" s="47"/>
      <c r="B2" s="48"/>
      <c r="C2" s="49"/>
      <c r="D2" s="50"/>
      <c r="E2" s="49"/>
      <c r="F2" s="49"/>
      <c r="G2" s="50"/>
      <c r="H2" s="50"/>
      <c r="I2" s="51"/>
      <c r="J2" s="51"/>
      <c r="K2" s="51"/>
      <c r="L2" s="51"/>
      <c r="M2" s="51"/>
      <c r="N2" s="49" t="s">
        <v>607</v>
      </c>
      <c r="O2" s="51"/>
      <c r="P2" s="51"/>
      <c r="Q2" s="51"/>
      <c r="R2" s="52"/>
      <c r="S2" s="46"/>
      <c r="T2" s="46"/>
      <c r="U2" s="46"/>
      <c r="V2" s="46"/>
      <c r="W2" s="46"/>
      <c r="X2" s="46"/>
      <c r="Y2" s="46"/>
      <c r="Z2" s="46"/>
      <c r="AA2" s="46"/>
      <c r="AB2" s="46"/>
    </row>
    <row r="3">
      <c r="A3" s="53" t="s">
        <v>608</v>
      </c>
      <c r="B3" s="54" t="s">
        <v>609</v>
      </c>
      <c r="C3" s="55" t="s">
        <v>610</v>
      </c>
      <c r="D3" s="56"/>
      <c r="E3" s="55" t="s">
        <v>611</v>
      </c>
      <c r="F3" s="55" t="s">
        <v>612</v>
      </c>
      <c r="G3" s="57"/>
      <c r="H3" s="57"/>
      <c r="I3" s="58"/>
      <c r="J3" s="58"/>
      <c r="K3" s="58"/>
      <c r="L3" s="58"/>
      <c r="M3" s="58"/>
      <c r="N3" s="58"/>
      <c r="O3" s="58"/>
      <c r="P3" s="58"/>
      <c r="Q3" s="58"/>
      <c r="R3" s="59"/>
      <c r="S3" s="46"/>
      <c r="T3" s="46"/>
      <c r="U3" s="46"/>
      <c r="V3" s="46"/>
      <c r="W3" s="46"/>
      <c r="X3" s="46"/>
      <c r="Y3" s="46"/>
      <c r="Z3" s="46"/>
      <c r="AA3" s="46"/>
      <c r="AB3" s="46"/>
    </row>
    <row r="4">
      <c r="A4" s="60" t="s">
        <v>613</v>
      </c>
      <c r="B4" s="60" t="s">
        <v>614</v>
      </c>
      <c r="C4" s="61" t="s">
        <v>615</v>
      </c>
      <c r="E4" s="60" t="s">
        <v>616</v>
      </c>
      <c r="F4" s="60" t="s">
        <v>617</v>
      </c>
      <c r="H4" s="62" t="s">
        <v>618</v>
      </c>
      <c r="I4" s="63"/>
      <c r="J4" s="63"/>
      <c r="K4" s="63"/>
      <c r="L4" s="63"/>
      <c r="M4" s="63"/>
      <c r="N4" s="63"/>
      <c r="O4" s="63"/>
      <c r="P4" s="63"/>
      <c r="Q4" s="63"/>
      <c r="R4" s="64"/>
      <c r="S4" s="46"/>
      <c r="T4" s="46"/>
      <c r="U4" s="46"/>
      <c r="V4" s="46"/>
      <c r="W4" s="46"/>
      <c r="X4" s="46"/>
      <c r="Y4" s="46"/>
      <c r="Z4" s="46"/>
      <c r="AA4" s="46"/>
      <c r="AB4" s="46"/>
    </row>
    <row r="5">
      <c r="A5" s="65" t="s">
        <v>619</v>
      </c>
      <c r="B5" s="65" t="s">
        <v>620</v>
      </c>
      <c r="C5" s="65" t="s">
        <v>621</v>
      </c>
      <c r="D5" s="65" t="s">
        <v>622</v>
      </c>
      <c r="E5" s="66" t="s">
        <v>623</v>
      </c>
      <c r="F5" s="65" t="s">
        <v>624</v>
      </c>
      <c r="G5" s="66" t="s">
        <v>625</v>
      </c>
      <c r="H5" s="66">
        <v>1.0</v>
      </c>
      <c r="I5" s="66">
        <v>2.0</v>
      </c>
      <c r="J5" s="66">
        <v>3.0</v>
      </c>
      <c r="K5" s="66">
        <v>4.0</v>
      </c>
      <c r="L5" s="66">
        <v>5.0</v>
      </c>
      <c r="M5" s="67" t="s">
        <v>626</v>
      </c>
      <c r="N5" s="66">
        <v>7.0</v>
      </c>
      <c r="O5" s="66">
        <v>8.0</v>
      </c>
      <c r="P5" s="66">
        <v>9.0</v>
      </c>
      <c r="Q5" s="66">
        <v>10.0</v>
      </c>
      <c r="R5" s="66">
        <v>11.0</v>
      </c>
      <c r="S5" s="46"/>
      <c r="T5" s="46"/>
      <c r="U5" s="46"/>
      <c r="V5" s="46"/>
      <c r="W5" s="46"/>
      <c r="X5" s="46"/>
      <c r="Y5" s="46"/>
      <c r="Z5" s="46"/>
      <c r="AA5" s="46"/>
      <c r="AB5" s="46"/>
    </row>
    <row r="6">
      <c r="A6" s="68">
        <v>1.0</v>
      </c>
      <c r="B6" s="69" t="s">
        <v>627</v>
      </c>
      <c r="C6" s="68" t="s">
        <v>628</v>
      </c>
      <c r="D6" s="68">
        <v>901.19</v>
      </c>
      <c r="E6" s="70">
        <v>3700.0</v>
      </c>
      <c r="F6" s="71">
        <v>3334403.0</v>
      </c>
      <c r="G6" s="72">
        <f>SUM(G9:G13)</f>
        <v>133376.12</v>
      </c>
      <c r="H6" s="73"/>
      <c r="I6" s="73"/>
      <c r="J6" s="73"/>
      <c r="K6" s="74">
        <v>4.0</v>
      </c>
      <c r="L6" s="73"/>
      <c r="M6" s="72"/>
      <c r="N6" s="72"/>
      <c r="O6" s="74">
        <v>4.0</v>
      </c>
      <c r="P6" s="72"/>
      <c r="Q6" s="72"/>
      <c r="R6" s="72"/>
      <c r="S6" s="46"/>
      <c r="T6" s="46"/>
      <c r="U6" s="46"/>
      <c r="V6" s="46"/>
      <c r="W6" s="46"/>
      <c r="X6" s="46"/>
      <c r="Y6" s="46"/>
      <c r="Z6" s="46"/>
      <c r="AA6" s="46"/>
      <c r="AB6" s="46"/>
    </row>
    <row r="7">
      <c r="A7" s="75">
        <v>46023.0</v>
      </c>
      <c r="B7" s="76" t="s">
        <v>629</v>
      </c>
      <c r="C7" s="77"/>
      <c r="D7" s="78"/>
      <c r="E7" s="79"/>
      <c r="F7" s="79"/>
      <c r="G7" s="72"/>
      <c r="H7" s="79">
        <v>580906.0</v>
      </c>
      <c r="I7" s="73"/>
      <c r="J7" s="73"/>
      <c r="K7" s="74"/>
      <c r="M7" s="79">
        <v>320000.0</v>
      </c>
      <c r="N7" s="72"/>
      <c r="O7" s="74"/>
      <c r="P7" s="72"/>
      <c r="Q7" s="72"/>
      <c r="R7" s="72"/>
      <c r="S7" s="80"/>
      <c r="T7" s="80"/>
      <c r="U7" s="80"/>
      <c r="V7" s="80"/>
      <c r="W7" s="80"/>
      <c r="X7" s="80"/>
      <c r="Y7" s="80"/>
      <c r="Z7" s="80"/>
      <c r="AA7" s="80"/>
      <c r="AB7" s="46"/>
    </row>
    <row r="8">
      <c r="A8" s="75">
        <v>46054.0</v>
      </c>
      <c r="B8" s="76" t="s">
        <v>610</v>
      </c>
      <c r="C8" s="77"/>
      <c r="D8" s="78"/>
      <c r="E8" s="79"/>
      <c r="F8" s="79"/>
      <c r="G8" s="72"/>
      <c r="H8" s="72" t="s">
        <v>630</v>
      </c>
      <c r="I8" s="73"/>
      <c r="K8" s="74"/>
      <c r="L8" s="72" t="s">
        <v>631</v>
      </c>
      <c r="M8" s="72"/>
      <c r="O8" s="74"/>
      <c r="P8" s="72"/>
      <c r="Q8" s="72"/>
      <c r="R8" s="72"/>
      <c r="S8" s="80"/>
      <c r="T8" s="80"/>
      <c r="U8" s="80"/>
      <c r="V8" s="80"/>
      <c r="W8" s="80"/>
      <c r="X8" s="80"/>
      <c r="Y8" s="80"/>
      <c r="Z8" s="80"/>
      <c r="AA8" s="80"/>
      <c r="AB8" s="46"/>
    </row>
    <row r="9">
      <c r="A9" s="81">
        <v>46023.0</v>
      </c>
      <c r="B9" s="82" t="s">
        <v>632</v>
      </c>
      <c r="C9" s="77" t="s">
        <v>628</v>
      </c>
      <c r="D9" s="78">
        <v>901.19</v>
      </c>
      <c r="E9" s="79">
        <v>700.0</v>
      </c>
      <c r="F9" s="79">
        <f t="shared" ref="F9:F13" si="1">D9*E9</f>
        <v>630833</v>
      </c>
      <c r="G9" s="72">
        <f t="shared" ref="G9:G13" si="2">F9/25</f>
        <v>25233.32</v>
      </c>
      <c r="I9" s="73"/>
      <c r="J9" s="73"/>
      <c r="K9" s="74"/>
      <c r="L9" s="73"/>
      <c r="M9" s="72"/>
      <c r="N9" s="72"/>
      <c r="O9" s="74"/>
      <c r="P9" s="72"/>
      <c r="Q9" s="72"/>
      <c r="R9" s="72"/>
      <c r="S9" s="83"/>
      <c r="T9" s="83"/>
      <c r="U9" s="83"/>
      <c r="V9" s="83"/>
      <c r="W9" s="83"/>
      <c r="X9" s="83"/>
      <c r="Y9" s="83"/>
      <c r="Z9" s="83"/>
      <c r="AA9" s="83"/>
      <c r="AB9" s="46" t="s">
        <v>633</v>
      </c>
    </row>
    <row r="10">
      <c r="A10" s="81">
        <v>46054.0</v>
      </c>
      <c r="B10" s="82" t="s">
        <v>634</v>
      </c>
      <c r="C10" s="77" t="s">
        <v>628</v>
      </c>
      <c r="D10" s="78">
        <v>901.19</v>
      </c>
      <c r="E10" s="79">
        <v>300.0</v>
      </c>
      <c r="F10" s="79">
        <f t="shared" si="1"/>
        <v>270357</v>
      </c>
      <c r="G10" s="72">
        <f t="shared" si="2"/>
        <v>10814.28</v>
      </c>
      <c r="H10" s="73"/>
      <c r="I10" s="73"/>
      <c r="J10" s="73"/>
      <c r="K10" s="74"/>
      <c r="L10" s="73"/>
      <c r="M10" s="72"/>
      <c r="N10" s="72"/>
      <c r="O10" s="74"/>
      <c r="P10" s="72"/>
      <c r="Q10" s="72"/>
      <c r="R10" s="72"/>
      <c r="S10" s="84"/>
      <c r="T10" s="84"/>
      <c r="U10" s="84"/>
      <c r="V10" s="84"/>
      <c r="W10" s="85"/>
      <c r="X10" s="84"/>
      <c r="Y10" s="84"/>
      <c r="Z10" s="84"/>
      <c r="AA10" s="84"/>
      <c r="AB10" s="84"/>
    </row>
    <row r="11">
      <c r="A11" s="81">
        <v>46082.0</v>
      </c>
      <c r="B11" s="82" t="s">
        <v>635</v>
      </c>
      <c r="C11" s="77" t="s">
        <v>628</v>
      </c>
      <c r="D11" s="78">
        <v>901.19</v>
      </c>
      <c r="E11" s="79">
        <v>1500.0</v>
      </c>
      <c r="F11" s="79">
        <f t="shared" si="1"/>
        <v>1351785</v>
      </c>
      <c r="G11" s="72">
        <f t="shared" si="2"/>
        <v>54071.4</v>
      </c>
      <c r="H11" s="73"/>
      <c r="I11" s="73"/>
      <c r="J11" s="73"/>
      <c r="K11" s="86"/>
      <c r="L11" s="73"/>
      <c r="M11" s="87"/>
      <c r="N11" s="87"/>
      <c r="O11" s="86"/>
      <c r="P11" s="87"/>
      <c r="Q11" s="87"/>
      <c r="R11" s="87"/>
      <c r="S11" s="83"/>
      <c r="T11" s="83"/>
      <c r="U11" s="83"/>
      <c r="V11" s="83"/>
      <c r="W11" s="85"/>
      <c r="X11" s="83"/>
      <c r="Y11" s="83"/>
      <c r="Z11" s="83"/>
      <c r="AA11" s="83"/>
      <c r="AB11" s="83"/>
    </row>
    <row r="12">
      <c r="A12" s="81">
        <v>46113.0</v>
      </c>
      <c r="B12" s="82" t="s">
        <v>636</v>
      </c>
      <c r="C12" s="77" t="s">
        <v>637</v>
      </c>
      <c r="D12" s="78">
        <v>1500.0</v>
      </c>
      <c r="E12" s="79">
        <v>650.0</v>
      </c>
      <c r="F12" s="79">
        <f t="shared" si="1"/>
        <v>975000</v>
      </c>
      <c r="G12" s="72">
        <f t="shared" si="2"/>
        <v>39000</v>
      </c>
      <c r="H12" s="73"/>
      <c r="I12" s="73"/>
      <c r="J12" s="73"/>
      <c r="K12" s="86"/>
      <c r="L12" s="73"/>
      <c r="M12" s="87"/>
      <c r="N12" s="87"/>
      <c r="O12" s="86"/>
      <c r="P12" s="87"/>
      <c r="Q12" s="87"/>
      <c r="R12" s="87"/>
      <c r="S12" s="46"/>
      <c r="T12" s="46"/>
      <c r="U12" s="46"/>
      <c r="V12" s="46"/>
      <c r="W12" s="46"/>
      <c r="X12" s="46"/>
      <c r="Y12" s="46"/>
      <c r="Z12" s="46"/>
      <c r="AA12" s="46"/>
      <c r="AB12" s="46"/>
    </row>
    <row r="13">
      <c r="A13" s="81">
        <v>46143.0</v>
      </c>
      <c r="B13" s="88" t="s">
        <v>638</v>
      </c>
      <c r="C13" s="77" t="s">
        <v>628</v>
      </c>
      <c r="D13" s="78">
        <v>300.0</v>
      </c>
      <c r="E13" s="79">
        <v>354.76</v>
      </c>
      <c r="F13" s="79">
        <f t="shared" si="1"/>
        <v>106428</v>
      </c>
      <c r="G13" s="72">
        <f t="shared" si="2"/>
        <v>4257.12</v>
      </c>
      <c r="H13" s="73"/>
      <c r="I13" s="73"/>
      <c r="J13" s="73"/>
      <c r="K13" s="86"/>
      <c r="L13" s="73"/>
      <c r="M13" s="87"/>
      <c r="N13" s="87"/>
      <c r="O13" s="86"/>
      <c r="P13" s="87"/>
      <c r="Q13" s="87"/>
      <c r="R13" s="87"/>
      <c r="S13" s="46"/>
      <c r="T13" s="46"/>
      <c r="U13" s="46"/>
      <c r="V13" s="46"/>
      <c r="W13" s="46"/>
      <c r="X13" s="46"/>
      <c r="Y13" s="46"/>
      <c r="Z13" s="46"/>
      <c r="AA13" s="46"/>
      <c r="AB13" s="46" t="s">
        <v>633</v>
      </c>
    </row>
    <row r="14">
      <c r="A14" s="81">
        <v>46174.0</v>
      </c>
      <c r="B14" s="89" t="s">
        <v>639</v>
      </c>
      <c r="C14" s="90" t="s">
        <v>628</v>
      </c>
      <c r="D14" s="78">
        <v>901.19</v>
      </c>
      <c r="E14" s="91">
        <v>3700.0</v>
      </c>
      <c r="F14" s="79">
        <v>3334403.0</v>
      </c>
      <c r="G14" s="72" t="s">
        <v>640</v>
      </c>
      <c r="H14" s="73"/>
      <c r="I14" s="73"/>
      <c r="J14" s="73"/>
      <c r="K14" s="86"/>
      <c r="L14" s="79">
        <f>150*3700</f>
        <v>555000</v>
      </c>
      <c r="M14" s="87"/>
      <c r="N14" s="87"/>
      <c r="O14" s="86"/>
      <c r="P14" s="87">
        <f>300*3700*0.8449</f>
        <v>937839</v>
      </c>
      <c r="R14" s="87"/>
      <c r="S14" s="46"/>
      <c r="T14" s="46"/>
      <c r="U14" s="46"/>
      <c r="V14" s="46"/>
      <c r="W14" s="46"/>
      <c r="X14" s="46"/>
      <c r="Y14" s="46"/>
      <c r="Z14" s="46"/>
      <c r="AA14" s="46"/>
      <c r="AB14" s="46"/>
    </row>
    <row r="15">
      <c r="A15" s="81">
        <v>46204.0</v>
      </c>
      <c r="B15" s="89" t="s">
        <v>641</v>
      </c>
      <c r="C15" s="92" t="s">
        <v>628</v>
      </c>
      <c r="D15" s="78">
        <v>901.19</v>
      </c>
      <c r="E15" s="91">
        <v>3700.0</v>
      </c>
      <c r="F15" s="79">
        <v>3334403.0</v>
      </c>
      <c r="G15" s="72" t="s">
        <v>640</v>
      </c>
      <c r="H15" s="73"/>
      <c r="I15" s="73"/>
      <c r="J15" s="73"/>
      <c r="K15" s="74"/>
      <c r="L15" s="73"/>
      <c r="M15" s="79">
        <f>150*3700</f>
        <v>555000</v>
      </c>
      <c r="N15" s="73"/>
      <c r="O15" s="87"/>
      <c r="P15" s="74"/>
      <c r="Q15" s="87">
        <f>P14</f>
        <v>937839</v>
      </c>
      <c r="R15" s="87"/>
      <c r="S15" s="46"/>
      <c r="T15" s="46"/>
      <c r="U15" s="46"/>
      <c r="V15" s="46"/>
      <c r="W15" s="46"/>
      <c r="X15" s="46"/>
      <c r="Y15" s="46"/>
      <c r="Z15" s="46"/>
      <c r="AA15" s="46"/>
      <c r="AB15" s="46"/>
    </row>
    <row r="16">
      <c r="A16" s="68">
        <v>2.0</v>
      </c>
      <c r="B16" s="69" t="s">
        <v>642</v>
      </c>
      <c r="C16" s="68" t="s">
        <v>628</v>
      </c>
      <c r="D16" s="68">
        <v>901.19</v>
      </c>
      <c r="E16" s="70">
        <v>2460.0</v>
      </c>
      <c r="F16" s="71">
        <v>2216927.4</v>
      </c>
      <c r="G16" s="72">
        <f>F16/25</f>
        <v>88677.096</v>
      </c>
      <c r="H16" s="73"/>
      <c r="I16" s="73"/>
      <c r="J16" s="73"/>
      <c r="L16" s="74">
        <v>4.0</v>
      </c>
      <c r="M16" s="73"/>
      <c r="N16" s="73"/>
      <c r="P16" s="74">
        <v>4.0</v>
      </c>
      <c r="Q16" s="87"/>
      <c r="R16" s="87"/>
      <c r="S16" s="46"/>
      <c r="T16" s="46"/>
      <c r="U16" s="46"/>
      <c r="V16" s="46"/>
      <c r="W16" s="46"/>
      <c r="X16" s="46"/>
      <c r="Y16" s="46"/>
      <c r="Z16" s="46"/>
      <c r="AA16" s="46"/>
      <c r="AB16" s="46"/>
    </row>
    <row r="17">
      <c r="A17" s="75">
        <v>46024.0</v>
      </c>
      <c r="B17" s="76" t="s">
        <v>629</v>
      </c>
      <c r="C17" s="68"/>
      <c r="D17" s="68"/>
      <c r="E17" s="70"/>
      <c r="F17" s="71"/>
      <c r="G17" s="72"/>
      <c r="H17" s="79">
        <v>386223.98918918916</v>
      </c>
      <c r="I17" s="73"/>
      <c r="J17" s="73"/>
      <c r="K17" s="87"/>
      <c r="L17" s="74"/>
      <c r="M17" s="93">
        <v>212756.75675675675</v>
      </c>
      <c r="N17" s="87"/>
      <c r="O17" s="73"/>
      <c r="P17" s="73"/>
      <c r="Q17" s="74"/>
      <c r="R17" s="87"/>
      <c r="S17" s="46"/>
      <c r="T17" s="46"/>
      <c r="U17" s="46"/>
      <c r="V17" s="46"/>
      <c r="W17" s="46"/>
      <c r="X17" s="46"/>
      <c r="Y17" s="46"/>
      <c r="Z17" s="46"/>
      <c r="AA17" s="46"/>
      <c r="AB17" s="46"/>
    </row>
    <row r="18">
      <c r="A18" s="75">
        <v>46055.0</v>
      </c>
      <c r="B18" s="76" t="s">
        <v>610</v>
      </c>
      <c r="C18" s="68"/>
      <c r="D18" s="68"/>
      <c r="E18" s="70"/>
      <c r="F18" s="71"/>
      <c r="G18" s="72"/>
      <c r="H18" s="72" t="s">
        <v>643</v>
      </c>
      <c r="I18" s="73"/>
      <c r="J18" s="73"/>
      <c r="K18" s="73"/>
      <c r="L18" s="74" t="s">
        <v>631</v>
      </c>
      <c r="M18" s="73"/>
      <c r="N18" s="87"/>
      <c r="P18" s="73"/>
      <c r="Q18" s="74"/>
      <c r="R18" s="87"/>
      <c r="S18" s="46"/>
      <c r="T18" s="46"/>
      <c r="U18" s="46"/>
      <c r="V18" s="46"/>
      <c r="W18" s="46"/>
      <c r="X18" s="46"/>
      <c r="Y18" s="46"/>
      <c r="Z18" s="46"/>
      <c r="AA18" s="46"/>
      <c r="AB18" s="46"/>
    </row>
    <row r="19">
      <c r="A19" s="75">
        <v>46236.0</v>
      </c>
      <c r="B19" s="89" t="s">
        <v>639</v>
      </c>
      <c r="C19" s="68"/>
      <c r="D19" s="68"/>
      <c r="E19" s="70"/>
      <c r="F19" s="71"/>
      <c r="G19" s="72"/>
      <c r="H19" s="73"/>
      <c r="I19" s="73"/>
      <c r="J19" s="73"/>
      <c r="K19" s="73"/>
      <c r="L19" s="74"/>
      <c r="M19" s="87"/>
      <c r="N19" s="87"/>
      <c r="O19" s="73"/>
      <c r="P19" s="73"/>
      <c r="Q19" s="74"/>
      <c r="R19" s="87"/>
      <c r="S19" s="46"/>
      <c r="T19" s="46"/>
      <c r="U19" s="46"/>
      <c r="V19" s="46"/>
      <c r="W19" s="46"/>
      <c r="X19" s="46"/>
      <c r="Y19" s="46"/>
      <c r="Z19" s="46"/>
      <c r="AA19" s="46"/>
      <c r="AB19" s="46"/>
    </row>
    <row r="20">
      <c r="A20" s="75">
        <v>46267.0</v>
      </c>
      <c r="B20" s="89" t="s">
        <v>641</v>
      </c>
      <c r="C20" s="68"/>
      <c r="D20" s="68"/>
      <c r="E20" s="70"/>
      <c r="F20" s="71"/>
      <c r="G20" s="72"/>
      <c r="I20" s="73"/>
      <c r="J20" s="73"/>
      <c r="K20" s="87"/>
      <c r="L20" s="74"/>
      <c r="M20" s="87"/>
      <c r="N20" s="87"/>
      <c r="O20" s="73"/>
      <c r="P20" s="73"/>
      <c r="Q20" s="74"/>
      <c r="R20" s="87"/>
      <c r="S20" s="46"/>
      <c r="T20" s="46"/>
      <c r="U20" s="46"/>
      <c r="V20" s="46"/>
      <c r="W20" s="46"/>
      <c r="X20" s="46"/>
      <c r="Y20" s="46"/>
      <c r="Z20" s="46"/>
      <c r="AA20" s="46"/>
      <c r="AB20" s="46"/>
    </row>
    <row r="21">
      <c r="A21" s="68">
        <v>3.0</v>
      </c>
      <c r="B21" s="69" t="s">
        <v>644</v>
      </c>
      <c r="C21" s="68" t="s">
        <v>628</v>
      </c>
      <c r="D21" s="68">
        <v>901.19</v>
      </c>
      <c r="E21" s="70">
        <v>200.0</v>
      </c>
      <c r="F21" s="71">
        <f>D21*E21</f>
        <v>180238</v>
      </c>
      <c r="G21" s="72">
        <f t="shared" ref="G21:G24" si="3">F21/25</f>
        <v>7209.52</v>
      </c>
      <c r="H21" s="73"/>
      <c r="I21" s="73"/>
      <c r="J21" s="73"/>
      <c r="K21" s="87"/>
      <c r="L21" s="72"/>
      <c r="M21" s="74">
        <v>2.0</v>
      </c>
      <c r="N21" s="87"/>
      <c r="O21" s="73"/>
      <c r="P21" s="73"/>
      <c r="Q21" s="74">
        <v>2.0</v>
      </c>
      <c r="R21" s="87"/>
      <c r="S21" s="46"/>
      <c r="T21" s="46"/>
      <c r="U21" s="46"/>
      <c r="V21" s="46"/>
      <c r="W21" s="46"/>
      <c r="X21" s="46"/>
      <c r="Y21" s="46"/>
      <c r="Z21" s="46"/>
      <c r="AA21" s="46"/>
      <c r="AB21" s="46"/>
    </row>
    <row r="22">
      <c r="A22" s="68">
        <v>4.0</v>
      </c>
      <c r="B22" s="69" t="s">
        <v>645</v>
      </c>
      <c r="C22" s="68" t="s">
        <v>646</v>
      </c>
      <c r="D22" s="68">
        <v>42.0</v>
      </c>
      <c r="E22" s="70">
        <v>1250.0</v>
      </c>
      <c r="F22" s="71">
        <v>52500.0</v>
      </c>
      <c r="G22" s="72">
        <f t="shared" si="3"/>
        <v>2100</v>
      </c>
      <c r="H22" s="73"/>
      <c r="I22" s="73"/>
      <c r="J22" s="73"/>
      <c r="K22" s="87"/>
      <c r="L22" s="72"/>
      <c r="M22" s="74">
        <v>2.0</v>
      </c>
      <c r="N22" s="87"/>
      <c r="O22" s="73"/>
      <c r="P22" s="73"/>
      <c r="Q22" s="74">
        <v>2.0</v>
      </c>
      <c r="R22" s="87"/>
      <c r="S22" s="46"/>
      <c r="T22" s="46"/>
      <c r="U22" s="46"/>
      <c r="V22" s="46"/>
      <c r="W22" s="46"/>
      <c r="X22" s="46"/>
      <c r="Y22" s="46"/>
      <c r="Z22" s="46"/>
      <c r="AA22" s="46"/>
      <c r="AB22" s="46"/>
    </row>
    <row r="23">
      <c r="A23" s="68">
        <v>5.0</v>
      </c>
      <c r="B23" s="69" t="s">
        <v>647</v>
      </c>
      <c r="C23" s="68" t="s">
        <v>646</v>
      </c>
      <c r="D23" s="68">
        <v>20.0</v>
      </c>
      <c r="E23" s="70">
        <v>1250.0</v>
      </c>
      <c r="F23" s="71">
        <v>25000.0</v>
      </c>
      <c r="G23" s="72">
        <f t="shared" si="3"/>
        <v>1000</v>
      </c>
      <c r="H23" s="73"/>
      <c r="I23" s="73"/>
      <c r="J23" s="73"/>
      <c r="K23" s="87"/>
      <c r="L23" s="87"/>
      <c r="M23" s="87"/>
      <c r="N23" s="74">
        <v>2.0</v>
      </c>
      <c r="O23" s="87"/>
      <c r="P23" s="87"/>
      <c r="Q23" s="73"/>
      <c r="R23" s="74">
        <v>2.0</v>
      </c>
      <c r="S23" s="46"/>
      <c r="T23" s="46"/>
      <c r="U23" s="46"/>
      <c r="V23" s="46"/>
      <c r="W23" s="46"/>
      <c r="X23" s="46"/>
      <c r="Y23" s="46"/>
      <c r="Z23" s="46"/>
      <c r="AA23" s="46"/>
      <c r="AB23" s="46"/>
    </row>
    <row r="24">
      <c r="A24" s="46"/>
      <c r="B24" s="46"/>
      <c r="C24" s="46"/>
      <c r="D24" s="46"/>
      <c r="E24" s="94" t="s">
        <v>648</v>
      </c>
      <c r="F24" s="95">
        <f>F6+F16+F21+F22+F23</f>
        <v>5809068.4</v>
      </c>
      <c r="G24" s="72">
        <f t="shared" si="3"/>
        <v>232362.736</v>
      </c>
      <c r="I24" s="46"/>
      <c r="J24" s="46"/>
      <c r="K24" s="96">
        <f>SUM(K6)</f>
        <v>4</v>
      </c>
      <c r="M24" s="96">
        <f>SUM(M21:M22)</f>
        <v>4</v>
      </c>
      <c r="N24" s="96">
        <f>SUM(N23)</f>
        <v>2</v>
      </c>
      <c r="O24" s="96">
        <f>O6</f>
        <v>4</v>
      </c>
      <c r="P24" s="96">
        <f>P16</f>
        <v>4</v>
      </c>
      <c r="Q24" s="46"/>
      <c r="R24" s="46"/>
      <c r="S24" s="45" t="s">
        <v>649</v>
      </c>
      <c r="T24" s="46"/>
      <c r="U24" s="46"/>
      <c r="V24" s="46"/>
      <c r="W24" s="46"/>
      <c r="X24" s="46"/>
      <c r="Y24" s="46"/>
      <c r="Z24" s="46"/>
      <c r="AA24" s="46"/>
      <c r="AB24" s="46"/>
    </row>
    <row r="25">
      <c r="A25" s="46"/>
      <c r="B25" s="46"/>
      <c r="C25" s="46"/>
      <c r="D25" s="46"/>
      <c r="E25" s="94" t="s">
        <v>650</v>
      </c>
      <c r="F25" s="95">
        <v>938138.403</v>
      </c>
      <c r="G25" s="72"/>
      <c r="H25" s="46"/>
      <c r="I25" s="46"/>
      <c r="J25" s="46"/>
      <c r="K25" s="46"/>
      <c r="L25" s="46"/>
      <c r="N25" s="46"/>
      <c r="O25" s="46"/>
      <c r="P25" s="46"/>
      <c r="Q25" s="46"/>
      <c r="R25" s="46"/>
      <c r="S25" s="46"/>
      <c r="T25" s="46"/>
      <c r="U25" s="46"/>
      <c r="V25" s="46"/>
      <c r="W25" s="46"/>
      <c r="X25" s="46"/>
      <c r="Y25" s="46"/>
      <c r="Z25" s="46"/>
      <c r="AA25" s="46"/>
      <c r="AB25" s="46"/>
    </row>
    <row r="26">
      <c r="A26" s="46"/>
      <c r="B26" s="46"/>
      <c r="C26" s="46"/>
      <c r="D26" s="46"/>
      <c r="E26" s="46"/>
      <c r="F26" s="46"/>
      <c r="G26" s="46"/>
      <c r="H26" s="97">
        <f>SUM(H7:H23)</f>
        <v>967129.9892</v>
      </c>
      <c r="I26" s="46"/>
      <c r="J26" s="46"/>
      <c r="K26" s="46"/>
      <c r="L26" s="46"/>
      <c r="M26" s="97">
        <f>SUM(M7,M15,M17)</f>
        <v>1087756.757</v>
      </c>
      <c r="N26" s="46"/>
      <c r="O26" s="46"/>
      <c r="P26" s="46"/>
      <c r="Q26" s="46"/>
      <c r="R26" s="46"/>
      <c r="S26" s="45" t="s">
        <v>651</v>
      </c>
      <c r="T26" s="46"/>
      <c r="U26" s="46"/>
      <c r="V26" s="46"/>
      <c r="W26" s="46"/>
      <c r="X26" s="46"/>
      <c r="Y26" s="46"/>
      <c r="Z26" s="46"/>
      <c r="AA26" s="46"/>
      <c r="AB26" s="46"/>
    </row>
    <row r="27">
      <c r="A27" s="46"/>
      <c r="C27" s="46"/>
      <c r="D27" s="46"/>
      <c r="E27" s="46"/>
      <c r="F27" s="46"/>
      <c r="G27" s="98"/>
      <c r="H27" s="46"/>
      <c r="I27" s="46"/>
      <c r="J27" s="46"/>
      <c r="K27" s="46"/>
      <c r="L27" s="46"/>
      <c r="M27" s="46"/>
      <c r="N27" s="46"/>
      <c r="O27" s="46"/>
      <c r="P27" s="46"/>
      <c r="Q27" s="46"/>
      <c r="R27" s="46"/>
      <c r="S27" s="46"/>
      <c r="T27" s="46"/>
      <c r="U27" s="46"/>
      <c r="V27" s="46"/>
      <c r="W27" s="46"/>
      <c r="X27" s="46"/>
      <c r="Y27" s="46"/>
      <c r="Z27" s="46"/>
      <c r="AA27" s="46"/>
      <c r="AB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row>
    <row r="29">
      <c r="A29" s="46"/>
      <c r="B29" s="45"/>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row>
  </sheetData>
  <mergeCells count="2">
    <mergeCell ref="C4:D4"/>
    <mergeCell ref="H4:R4"/>
  </mergeCell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6.11"/>
    <col customWidth="1" min="3" max="3" width="57.56"/>
    <col customWidth="1" min="4" max="4" width="56.56"/>
    <col customWidth="1" min="5" max="5" width="23.22"/>
    <col customWidth="1" min="6" max="6" width="29.78"/>
    <col customWidth="1" min="7" max="7" width="35.78"/>
    <col customWidth="1" min="8" max="8" width="43.22"/>
    <col customWidth="1" min="9" max="9" width="14.44"/>
    <col customWidth="1" min="10" max="10" width="43.78"/>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c r="A2" s="27">
        <v>1.0</v>
      </c>
      <c r="B2" s="24" t="s">
        <v>652</v>
      </c>
      <c r="C2" s="24" t="s">
        <v>653</v>
      </c>
      <c r="D2" s="24" t="s">
        <v>654</v>
      </c>
      <c r="E2" s="24" t="s">
        <v>655</v>
      </c>
      <c r="F2" s="24" t="s">
        <v>656</v>
      </c>
      <c r="G2" s="24" t="s">
        <v>657</v>
      </c>
      <c r="H2" s="24" t="s">
        <v>658</v>
      </c>
      <c r="I2" s="27" t="s">
        <v>389</v>
      </c>
      <c r="J2" s="24" t="s">
        <v>659</v>
      </c>
    </row>
    <row r="3">
      <c r="A3" s="99">
        <v>46024.0</v>
      </c>
      <c r="B3" s="24" t="s">
        <v>660</v>
      </c>
      <c r="C3" s="24" t="s">
        <v>661</v>
      </c>
      <c r="D3" s="24" t="s">
        <v>662</v>
      </c>
      <c r="E3" s="24" t="s">
        <v>663</v>
      </c>
      <c r="F3" s="24" t="s">
        <v>664</v>
      </c>
      <c r="G3" s="24" t="s">
        <v>665</v>
      </c>
      <c r="H3" s="24" t="s">
        <v>666</v>
      </c>
      <c r="I3" s="27" t="s">
        <v>389</v>
      </c>
      <c r="J3" s="24" t="s">
        <v>667</v>
      </c>
    </row>
    <row r="4">
      <c r="A4" s="99">
        <v>46055.0</v>
      </c>
      <c r="B4" s="24" t="s">
        <v>660</v>
      </c>
      <c r="C4" s="24" t="s">
        <v>668</v>
      </c>
      <c r="D4" s="24" t="s">
        <v>669</v>
      </c>
      <c r="E4" s="24" t="s">
        <v>670</v>
      </c>
      <c r="F4" s="24" t="s">
        <v>671</v>
      </c>
      <c r="G4" s="24" t="s">
        <v>672</v>
      </c>
      <c r="H4" s="24" t="s">
        <v>673</v>
      </c>
      <c r="I4" s="27" t="s">
        <v>389</v>
      </c>
      <c r="J4" s="24" t="s">
        <v>674</v>
      </c>
    </row>
    <row r="5">
      <c r="A5" s="27">
        <v>3.0</v>
      </c>
      <c r="B5" s="24" t="s">
        <v>675</v>
      </c>
      <c r="C5" s="24" t="s">
        <v>676</v>
      </c>
      <c r="D5" s="24" t="s">
        <v>677</v>
      </c>
      <c r="E5" s="24" t="s">
        <v>678</v>
      </c>
      <c r="F5" s="24" t="s">
        <v>679</v>
      </c>
      <c r="G5" s="24" t="s">
        <v>680</v>
      </c>
      <c r="H5" s="24" t="s">
        <v>681</v>
      </c>
      <c r="I5" s="27" t="s">
        <v>389</v>
      </c>
      <c r="J5" s="24" t="s">
        <v>682</v>
      </c>
    </row>
    <row r="6" ht="443.25" customHeight="1">
      <c r="A6" s="27">
        <v>4.0</v>
      </c>
      <c r="B6" s="24" t="s">
        <v>683</v>
      </c>
      <c r="C6" s="24" t="s">
        <v>684</v>
      </c>
      <c r="D6" s="24" t="s">
        <v>685</v>
      </c>
      <c r="E6" s="24" t="s">
        <v>686</v>
      </c>
      <c r="F6" s="24" t="s">
        <v>687</v>
      </c>
      <c r="G6" s="24" t="s">
        <v>688</v>
      </c>
      <c r="H6" s="24" t="s">
        <v>689</v>
      </c>
      <c r="I6" s="27" t="s">
        <v>389</v>
      </c>
      <c r="J6" s="24" t="s">
        <v>690</v>
      </c>
    </row>
    <row r="7">
      <c r="A7" s="27">
        <v>5.0</v>
      </c>
      <c r="B7" s="24" t="s">
        <v>691</v>
      </c>
      <c r="C7" s="24" t="s">
        <v>692</v>
      </c>
      <c r="D7" s="24" t="s">
        <v>693</v>
      </c>
      <c r="E7" s="24" t="s">
        <v>694</v>
      </c>
      <c r="F7" s="24" t="s">
        <v>695</v>
      </c>
      <c r="G7" s="24" t="s">
        <v>696</v>
      </c>
      <c r="H7" s="24" t="s">
        <v>697</v>
      </c>
      <c r="I7" s="27" t="s">
        <v>389</v>
      </c>
      <c r="J7" s="24" t="s">
        <v>698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11"/>
    <col customWidth="1" min="2" max="2" width="14.67"/>
    <col customWidth="1" min="3" max="3" width="71.0"/>
    <col customWidth="1" min="4" max="4" width="43.44"/>
    <col customWidth="1" min="5" max="5" width="25.33"/>
    <col customWidth="1" min="6" max="6" width="28.0"/>
    <col customWidth="1" min="7" max="7" width="29.44"/>
    <col customWidth="1" min="8" max="8" width="45.56"/>
    <col customWidth="1" min="9" max="9" width="14.78"/>
    <col customWidth="1" min="10" max="10" width="35.89"/>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486.0" customHeight="1">
      <c r="A2" s="27">
        <v>1.0</v>
      </c>
      <c r="B2" s="24" t="s">
        <v>699</v>
      </c>
      <c r="C2" s="24" t="s">
        <v>700</v>
      </c>
      <c r="D2" s="24" t="s">
        <v>701</v>
      </c>
      <c r="E2" s="24" t="s">
        <v>702</v>
      </c>
      <c r="F2" s="24" t="s">
        <v>703</v>
      </c>
      <c r="G2" s="24" t="s">
        <v>704</v>
      </c>
      <c r="H2" s="24" t="s">
        <v>705</v>
      </c>
      <c r="I2" s="27" t="s">
        <v>389</v>
      </c>
      <c r="J2" s="24" t="s">
        <v>706</v>
      </c>
    </row>
    <row r="3" ht="486.0" customHeight="1">
      <c r="A3" s="27">
        <v>2.0</v>
      </c>
      <c r="B3" s="24" t="s">
        <v>707</v>
      </c>
      <c r="C3" s="24" t="s">
        <v>708</v>
      </c>
      <c r="D3" s="24" t="s">
        <v>709</v>
      </c>
      <c r="E3" s="24" t="s">
        <v>710</v>
      </c>
      <c r="F3" s="24" t="s">
        <v>711</v>
      </c>
      <c r="G3" s="24" t="s">
        <v>712</v>
      </c>
      <c r="H3" s="24" t="s">
        <v>713</v>
      </c>
      <c r="I3" s="27" t="s">
        <v>389</v>
      </c>
      <c r="J3" s="24" t="s">
        <v>714</v>
      </c>
    </row>
    <row r="7">
      <c r="B7" s="100"/>
    </row>
    <row r="8">
      <c r="B8" s="100"/>
    </row>
    <row r="10">
      <c r="B10" s="100"/>
    </row>
    <row r="11">
      <c r="B11" s="100"/>
    </row>
  </sheetData>
  <printOptions gridLines="1" horizontalCentered="1"/>
  <pageMargins bottom="0.75" footer="0.0" header="0.0" left="0.7" right="0.7" top="0.75"/>
  <pageSetup fitToHeight="0" paperSize="9"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67"/>
    <col customWidth="1" min="2" max="2" width="16.67"/>
    <col customWidth="1" min="3" max="3" width="63.67"/>
    <col customWidth="1" min="4" max="4" width="38.89"/>
    <col customWidth="1" min="5" max="5" width="20.56"/>
    <col customWidth="1" min="6" max="6" width="23.11"/>
    <col customWidth="1" min="7" max="7" width="27.33"/>
    <col customWidth="1" min="8" max="8" width="35.33"/>
    <col customWidth="1" min="9" max="9" width="15.22"/>
    <col customWidth="1" min="10" max="10" width="30.67"/>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414.0" customHeight="1">
      <c r="A2" s="27">
        <v>1.0</v>
      </c>
      <c r="B2" s="24" t="s">
        <v>715</v>
      </c>
      <c r="C2" s="24" t="s">
        <v>716</v>
      </c>
      <c r="D2" s="24" t="s">
        <v>717</v>
      </c>
      <c r="E2" s="24" t="s">
        <v>718</v>
      </c>
      <c r="F2" s="24" t="s">
        <v>719</v>
      </c>
      <c r="G2" s="24" t="s">
        <v>720</v>
      </c>
      <c r="H2" s="24" t="s">
        <v>721</v>
      </c>
      <c r="I2" s="27" t="s">
        <v>389</v>
      </c>
      <c r="J2" s="24" t="s">
        <v>722</v>
      </c>
    </row>
    <row r="3" ht="486.0" customHeight="1">
      <c r="A3" s="27">
        <v>2.0</v>
      </c>
      <c r="B3" s="24" t="s">
        <v>723</v>
      </c>
      <c r="C3" s="24" t="s">
        <v>724</v>
      </c>
      <c r="D3" s="24" t="s">
        <v>725</v>
      </c>
      <c r="E3" s="24" t="s">
        <v>726</v>
      </c>
      <c r="F3" s="24" t="s">
        <v>727</v>
      </c>
      <c r="G3" s="24" t="s">
        <v>728</v>
      </c>
      <c r="H3" s="24" t="s">
        <v>729</v>
      </c>
      <c r="I3" s="27" t="s">
        <v>389</v>
      </c>
      <c r="J3" s="24" t="s">
        <v>730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67"/>
    <col customWidth="1" min="2" max="2" width="20.78"/>
    <col customWidth="1" min="3" max="4" width="31.67"/>
    <col customWidth="1" min="5" max="5" width="23.22"/>
    <col customWidth="1" min="6" max="6" width="25.0"/>
    <col customWidth="1" min="7" max="7" width="26.67"/>
    <col customWidth="1" min="8" max="8" width="50.0"/>
    <col customWidth="1" min="9" max="9" width="13.44"/>
    <col customWidth="1" min="10" max="10" width="28.89"/>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705.75" customHeight="1">
      <c r="A2" s="27">
        <v>1.0</v>
      </c>
      <c r="B2" s="24" t="s">
        <v>731</v>
      </c>
      <c r="C2" s="24" t="s">
        <v>732</v>
      </c>
      <c r="D2" s="24" t="s">
        <v>733</v>
      </c>
      <c r="E2" s="24" t="s">
        <v>734</v>
      </c>
      <c r="F2" s="24" t="s">
        <v>735</v>
      </c>
      <c r="G2" s="24" t="s">
        <v>736</v>
      </c>
      <c r="H2" s="24" t="s">
        <v>737</v>
      </c>
      <c r="I2" s="27" t="s">
        <v>389</v>
      </c>
      <c r="J2" s="24" t="s">
        <v>738</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67"/>
    <col customWidth="1" min="2" max="2" width="20.78"/>
    <col customWidth="1" min="3" max="3" width="31.67"/>
    <col customWidth="1" min="4" max="4" width="39.56"/>
    <col customWidth="1" min="5" max="5" width="23.22"/>
    <col customWidth="1" min="6" max="6" width="25.0"/>
    <col customWidth="1" min="7" max="7" width="26.67"/>
    <col customWidth="1" min="8" max="8" width="32.22"/>
    <col customWidth="1" min="9" max="9" width="13.44"/>
    <col customWidth="1" min="10" max="10" width="54.44"/>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291.0" customHeight="1">
      <c r="A2" s="27">
        <v>1.0</v>
      </c>
      <c r="B2" s="24" t="s">
        <v>739</v>
      </c>
      <c r="C2" s="24" t="s">
        <v>740</v>
      </c>
      <c r="D2" s="24" t="s">
        <v>741</v>
      </c>
      <c r="E2" s="24" t="s">
        <v>742</v>
      </c>
      <c r="F2" s="24" t="s">
        <v>743</v>
      </c>
      <c r="G2" s="24" t="s">
        <v>744</v>
      </c>
      <c r="H2" s="24" t="s">
        <v>745</v>
      </c>
      <c r="I2" s="27" t="s">
        <v>96</v>
      </c>
      <c r="J2" s="24" t="s">
        <v>746</v>
      </c>
    </row>
    <row r="3" ht="353.25" customHeight="1">
      <c r="A3" s="27">
        <v>2.0</v>
      </c>
      <c r="B3" s="24" t="s">
        <v>747</v>
      </c>
      <c r="C3" s="24" t="s">
        <v>748</v>
      </c>
      <c r="D3" s="24" t="s">
        <v>749</v>
      </c>
      <c r="E3" s="24" t="s">
        <v>750</v>
      </c>
      <c r="F3" s="24" t="s">
        <v>751</v>
      </c>
      <c r="G3" s="24" t="s">
        <v>752</v>
      </c>
      <c r="H3" s="24" t="s">
        <v>753</v>
      </c>
      <c r="I3" s="27" t="s">
        <v>754</v>
      </c>
      <c r="J3" s="24" t="s">
        <v>755</v>
      </c>
    </row>
    <row r="4" ht="367.5" customHeight="1">
      <c r="A4" s="27">
        <v>3.0</v>
      </c>
      <c r="B4" s="24" t="s">
        <v>756</v>
      </c>
      <c r="C4" s="24" t="s">
        <v>757</v>
      </c>
      <c r="D4" s="24" t="s">
        <v>758</v>
      </c>
      <c r="E4" s="24" t="s">
        <v>759</v>
      </c>
      <c r="F4" s="24" t="s">
        <v>760</v>
      </c>
      <c r="G4" s="24" t="s">
        <v>761</v>
      </c>
      <c r="H4" s="24" t="s">
        <v>762</v>
      </c>
      <c r="I4" s="27" t="s">
        <v>96</v>
      </c>
      <c r="J4" s="24" t="s">
        <v>763</v>
      </c>
    </row>
    <row r="5" ht="733.5" customHeight="1">
      <c r="A5" s="27">
        <v>4.0</v>
      </c>
      <c r="B5" s="24" t="s">
        <v>764</v>
      </c>
      <c r="C5" s="24" t="s">
        <v>765</v>
      </c>
      <c r="D5" s="24" t="s">
        <v>766</v>
      </c>
      <c r="E5" s="24" t="s">
        <v>767</v>
      </c>
      <c r="F5" s="24" t="s">
        <v>768</v>
      </c>
      <c r="G5" s="24" t="s">
        <v>769</v>
      </c>
      <c r="H5" s="24" t="s">
        <v>770</v>
      </c>
      <c r="I5" s="27" t="s">
        <v>771</v>
      </c>
      <c r="J5" s="24" t="s">
        <v>772</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3.0"/>
    <col customWidth="1" min="3" max="3" width="37.78"/>
    <col customWidth="1" min="4" max="4" width="31.56"/>
    <col customWidth="1" min="5" max="5" width="34.0"/>
    <col customWidth="1" min="6" max="6" width="23.44"/>
    <col customWidth="1" min="7" max="7" width="21.78"/>
    <col customWidth="1" min="8" max="8" width="22.11"/>
    <col customWidth="1" min="10" max="10" width="31.33"/>
  </cols>
  <sheetData>
    <row r="1">
      <c r="A1" s="18" t="s">
        <v>1</v>
      </c>
      <c r="B1" s="2" t="s">
        <v>2</v>
      </c>
      <c r="C1" s="2" t="s">
        <v>3</v>
      </c>
      <c r="D1" s="2" t="s">
        <v>4</v>
      </c>
      <c r="E1" s="2" t="s">
        <v>5</v>
      </c>
      <c r="F1" s="2" t="s">
        <v>6</v>
      </c>
      <c r="G1" s="7" t="s">
        <v>7</v>
      </c>
      <c r="H1" s="7" t="s">
        <v>8</v>
      </c>
      <c r="I1" s="15" t="s">
        <v>87</v>
      </c>
      <c r="J1" s="7" t="s">
        <v>9</v>
      </c>
      <c r="K1" s="22"/>
      <c r="L1" s="22"/>
      <c r="M1" s="22"/>
      <c r="N1" s="22"/>
      <c r="O1" s="22"/>
      <c r="P1" s="22"/>
      <c r="Q1" s="22"/>
      <c r="R1" s="22"/>
      <c r="S1" s="22"/>
      <c r="T1" s="22"/>
      <c r="U1" s="22"/>
      <c r="V1" s="22"/>
      <c r="W1" s="22"/>
      <c r="X1" s="22"/>
      <c r="Y1" s="22"/>
      <c r="Z1" s="22"/>
    </row>
    <row r="2" ht="282.75" customHeight="1">
      <c r="A2" s="27">
        <v>1.0</v>
      </c>
      <c r="B2" s="24" t="s">
        <v>773</v>
      </c>
      <c r="C2" s="24" t="s">
        <v>774</v>
      </c>
      <c r="D2" s="24" t="s">
        <v>775</v>
      </c>
      <c r="E2" s="24" t="s">
        <v>776</v>
      </c>
      <c r="F2" s="24" t="s">
        <v>777</v>
      </c>
      <c r="G2" s="24" t="s">
        <v>778</v>
      </c>
      <c r="H2" s="24" t="s">
        <v>779</v>
      </c>
      <c r="I2" s="27" t="s">
        <v>96</v>
      </c>
      <c r="J2" s="24" t="s">
        <v>780</v>
      </c>
    </row>
    <row r="3" ht="290.25" customHeight="1">
      <c r="A3" s="27">
        <v>2.0</v>
      </c>
      <c r="B3" s="24" t="s">
        <v>781</v>
      </c>
      <c r="C3" s="24" t="s">
        <v>782</v>
      </c>
      <c r="D3" s="24" t="s">
        <v>783</v>
      </c>
      <c r="E3" s="24" t="s">
        <v>784</v>
      </c>
      <c r="F3" s="24" t="s">
        <v>785</v>
      </c>
      <c r="G3" s="24" t="s">
        <v>786</v>
      </c>
      <c r="H3" s="24" t="s">
        <v>787</v>
      </c>
      <c r="I3" s="27" t="s">
        <v>389</v>
      </c>
      <c r="J3" s="24" t="s">
        <v>788</v>
      </c>
    </row>
    <row r="4" ht="346.5" customHeight="1">
      <c r="A4" s="27">
        <v>3.0</v>
      </c>
      <c r="B4" s="24" t="s">
        <v>789</v>
      </c>
      <c r="C4" s="24" t="s">
        <v>790</v>
      </c>
      <c r="D4" s="24" t="s">
        <v>791</v>
      </c>
      <c r="E4" s="24" t="s">
        <v>792</v>
      </c>
      <c r="F4" s="24" t="s">
        <v>793</v>
      </c>
      <c r="G4" s="24" t="s">
        <v>794</v>
      </c>
      <c r="H4" s="24" t="s">
        <v>795</v>
      </c>
      <c r="I4" s="27" t="s">
        <v>389</v>
      </c>
      <c r="J4" s="24" t="s">
        <v>796</v>
      </c>
    </row>
    <row r="5">
      <c r="A5" s="11"/>
      <c r="I5" s="101"/>
    </row>
    <row r="6">
      <c r="A6" s="102"/>
      <c r="B6" s="103"/>
      <c r="I6" s="101"/>
    </row>
    <row r="7">
      <c r="A7" s="104"/>
      <c r="B7" s="105"/>
      <c r="I7" s="101"/>
    </row>
    <row r="8">
      <c r="A8" s="104"/>
      <c r="B8" s="105"/>
      <c r="I8" s="101"/>
    </row>
    <row r="9">
      <c r="A9" s="104"/>
      <c r="B9" s="105"/>
      <c r="I9" s="101"/>
    </row>
    <row r="10">
      <c r="A10" s="11"/>
      <c r="I10" s="101"/>
    </row>
    <row r="11">
      <c r="A11" s="11"/>
      <c r="I11" s="101"/>
    </row>
    <row r="12">
      <c r="A12" s="11"/>
      <c r="I12" s="101"/>
    </row>
    <row r="13">
      <c r="A13" s="11"/>
      <c r="I13" s="101"/>
    </row>
    <row r="14">
      <c r="A14" s="11"/>
      <c r="I14" s="101"/>
    </row>
    <row r="15">
      <c r="A15" s="11"/>
      <c r="I15" s="101"/>
    </row>
    <row r="16">
      <c r="A16" s="11"/>
      <c r="I16" s="101"/>
    </row>
    <row r="17">
      <c r="A17" s="11"/>
      <c r="I17" s="101"/>
    </row>
    <row r="18">
      <c r="A18" s="11"/>
      <c r="I18" s="101"/>
    </row>
    <row r="19">
      <c r="A19" s="11"/>
      <c r="I19" s="101"/>
    </row>
    <row r="20">
      <c r="A20" s="11"/>
      <c r="I20" s="101"/>
    </row>
    <row r="21">
      <c r="A21" s="11"/>
      <c r="I21" s="101"/>
    </row>
    <row r="22">
      <c r="A22" s="11"/>
      <c r="I22" s="101"/>
    </row>
    <row r="23">
      <c r="A23" s="11"/>
      <c r="I23" s="101"/>
    </row>
    <row r="24">
      <c r="A24" s="11"/>
      <c r="I24" s="101"/>
    </row>
    <row r="25">
      <c r="A25" s="11"/>
      <c r="I25" s="101"/>
    </row>
    <row r="26">
      <c r="A26" s="11"/>
      <c r="I26" s="101"/>
    </row>
    <row r="27">
      <c r="A27" s="11"/>
      <c r="I27" s="101"/>
    </row>
    <row r="28">
      <c r="A28" s="11"/>
      <c r="I28" s="101"/>
    </row>
    <row r="29">
      <c r="A29" s="11"/>
      <c r="I29" s="101"/>
    </row>
    <row r="30">
      <c r="A30" s="11"/>
      <c r="I30" s="101"/>
    </row>
    <row r="31">
      <c r="A31" s="11"/>
      <c r="I31" s="101"/>
    </row>
    <row r="32">
      <c r="A32" s="11"/>
      <c r="I32" s="101"/>
    </row>
    <row r="33">
      <c r="A33" s="11"/>
      <c r="I33" s="101"/>
    </row>
    <row r="34">
      <c r="A34" s="11"/>
      <c r="I34" s="101"/>
    </row>
    <row r="35">
      <c r="A35" s="11"/>
      <c r="I35" s="101"/>
    </row>
    <row r="36">
      <c r="A36" s="11"/>
      <c r="I36" s="101"/>
    </row>
    <row r="37">
      <c r="A37" s="11"/>
      <c r="I37" s="101"/>
    </row>
    <row r="38">
      <c r="A38" s="11"/>
      <c r="I38" s="101"/>
    </row>
    <row r="39">
      <c r="A39" s="11"/>
      <c r="I39" s="101"/>
    </row>
    <row r="40">
      <c r="A40" s="11"/>
      <c r="I40" s="101"/>
    </row>
    <row r="41">
      <c r="A41" s="11"/>
      <c r="I41" s="101"/>
    </row>
    <row r="42">
      <c r="A42" s="11"/>
      <c r="I42" s="101"/>
    </row>
    <row r="43">
      <c r="A43" s="11"/>
      <c r="I43" s="101"/>
    </row>
    <row r="44">
      <c r="A44" s="11"/>
      <c r="I44" s="101"/>
    </row>
    <row r="45">
      <c r="A45" s="11"/>
      <c r="I45" s="101"/>
    </row>
    <row r="46">
      <c r="A46" s="11"/>
      <c r="I46" s="101"/>
    </row>
    <row r="47">
      <c r="A47" s="11"/>
      <c r="I47" s="101"/>
    </row>
    <row r="48">
      <c r="A48" s="11"/>
      <c r="I48" s="101"/>
    </row>
    <row r="49">
      <c r="A49" s="11"/>
      <c r="I49" s="101"/>
    </row>
    <row r="50">
      <c r="A50" s="11"/>
      <c r="I50" s="101"/>
    </row>
    <row r="51">
      <c r="A51" s="11"/>
      <c r="I51" s="101"/>
    </row>
    <row r="52">
      <c r="A52" s="11"/>
      <c r="I52" s="101"/>
    </row>
    <row r="53">
      <c r="A53" s="11"/>
      <c r="I53" s="101"/>
    </row>
    <row r="54">
      <c r="A54" s="11"/>
      <c r="I54" s="101"/>
    </row>
    <row r="55">
      <c r="A55" s="11"/>
      <c r="I55" s="101"/>
    </row>
    <row r="56">
      <c r="A56" s="11"/>
      <c r="I56" s="101"/>
    </row>
    <row r="57">
      <c r="A57" s="11"/>
      <c r="I57" s="101"/>
    </row>
    <row r="58">
      <c r="A58" s="11"/>
      <c r="I58" s="101"/>
    </row>
    <row r="59">
      <c r="A59" s="11"/>
      <c r="I59" s="101"/>
    </row>
    <row r="60">
      <c r="A60" s="11"/>
      <c r="I60" s="101"/>
    </row>
    <row r="61">
      <c r="A61" s="11"/>
      <c r="I61" s="101"/>
    </row>
    <row r="62">
      <c r="A62" s="11"/>
      <c r="I62" s="101"/>
    </row>
    <row r="63">
      <c r="A63" s="11"/>
      <c r="I63" s="101"/>
    </row>
    <row r="64">
      <c r="A64" s="11"/>
      <c r="I64" s="101"/>
    </row>
    <row r="65">
      <c r="A65" s="11"/>
      <c r="I65" s="101"/>
    </row>
    <row r="66">
      <c r="A66" s="11"/>
      <c r="I66" s="101"/>
    </row>
    <row r="67">
      <c r="A67" s="11"/>
      <c r="I67" s="101"/>
    </row>
    <row r="68">
      <c r="A68" s="11"/>
      <c r="I68" s="101"/>
    </row>
    <row r="69">
      <c r="A69" s="11"/>
      <c r="I69" s="101"/>
    </row>
    <row r="70">
      <c r="A70" s="11"/>
      <c r="I70" s="101"/>
    </row>
    <row r="71">
      <c r="A71" s="11"/>
      <c r="I71" s="101"/>
    </row>
    <row r="72">
      <c r="A72" s="11"/>
      <c r="I72" s="101"/>
    </row>
    <row r="73">
      <c r="A73" s="11"/>
      <c r="I73" s="101"/>
    </row>
    <row r="74">
      <c r="A74" s="11"/>
      <c r="I74" s="101"/>
    </row>
    <row r="75">
      <c r="A75" s="11"/>
      <c r="I75" s="101"/>
    </row>
    <row r="76">
      <c r="A76" s="11"/>
      <c r="I76" s="101"/>
    </row>
    <row r="77">
      <c r="A77" s="11"/>
      <c r="I77" s="101"/>
    </row>
    <row r="78">
      <c r="A78" s="11"/>
      <c r="I78" s="101"/>
    </row>
    <row r="79">
      <c r="A79" s="11"/>
      <c r="I79" s="101"/>
    </row>
    <row r="80">
      <c r="A80" s="11"/>
      <c r="I80" s="101"/>
    </row>
    <row r="81">
      <c r="A81" s="11"/>
      <c r="I81" s="101"/>
    </row>
    <row r="82">
      <c r="A82" s="11"/>
      <c r="I82" s="101"/>
    </row>
    <row r="83">
      <c r="A83" s="11"/>
      <c r="I83" s="101"/>
    </row>
    <row r="84">
      <c r="A84" s="11"/>
      <c r="I84" s="101"/>
    </row>
    <row r="85">
      <c r="A85" s="11"/>
      <c r="I85" s="101"/>
    </row>
    <row r="86">
      <c r="A86" s="11"/>
      <c r="I86" s="101"/>
    </row>
    <row r="87">
      <c r="A87" s="11"/>
      <c r="I87" s="101"/>
    </row>
    <row r="88">
      <c r="A88" s="11"/>
      <c r="I88" s="101"/>
    </row>
    <row r="89">
      <c r="A89" s="11"/>
      <c r="I89" s="101"/>
    </row>
    <row r="90">
      <c r="A90" s="11"/>
      <c r="I90" s="101"/>
    </row>
    <row r="91">
      <c r="A91" s="11"/>
      <c r="I91" s="101"/>
    </row>
    <row r="92">
      <c r="A92" s="11"/>
      <c r="I92" s="101"/>
    </row>
    <row r="93">
      <c r="A93" s="11"/>
      <c r="I93" s="101"/>
    </row>
    <row r="94">
      <c r="A94" s="11"/>
      <c r="I94" s="101"/>
    </row>
    <row r="95">
      <c r="A95" s="11"/>
      <c r="I95" s="101"/>
    </row>
    <row r="96">
      <c r="A96" s="11"/>
      <c r="I96" s="101"/>
    </row>
    <row r="97">
      <c r="A97" s="11"/>
      <c r="I97" s="101"/>
    </row>
    <row r="98">
      <c r="A98" s="11"/>
      <c r="I98" s="101"/>
    </row>
    <row r="99">
      <c r="A99" s="11"/>
      <c r="I99" s="101"/>
    </row>
    <row r="100">
      <c r="A100" s="11"/>
      <c r="I100" s="101"/>
    </row>
    <row r="101">
      <c r="A101" s="11"/>
      <c r="I101" s="101"/>
    </row>
    <row r="102">
      <c r="A102" s="11"/>
      <c r="I102" s="101"/>
    </row>
    <row r="103">
      <c r="A103" s="11"/>
      <c r="I103" s="101"/>
    </row>
    <row r="104">
      <c r="A104" s="11"/>
      <c r="I104" s="101"/>
    </row>
    <row r="105">
      <c r="A105" s="11"/>
      <c r="I105" s="101"/>
    </row>
    <row r="106">
      <c r="A106" s="11"/>
      <c r="I106" s="101"/>
    </row>
    <row r="107">
      <c r="A107" s="11"/>
      <c r="I107" s="101"/>
    </row>
    <row r="108">
      <c r="A108" s="11"/>
      <c r="I108" s="101"/>
    </row>
    <row r="109">
      <c r="A109" s="11"/>
      <c r="I109" s="101"/>
    </row>
    <row r="110">
      <c r="A110" s="11"/>
      <c r="I110" s="101"/>
    </row>
    <row r="111">
      <c r="A111" s="11"/>
      <c r="I111" s="101"/>
    </row>
    <row r="112">
      <c r="A112" s="11"/>
      <c r="I112" s="101"/>
    </row>
    <row r="113">
      <c r="A113" s="11"/>
      <c r="I113" s="101"/>
    </row>
    <row r="114">
      <c r="A114" s="11"/>
      <c r="I114" s="101"/>
    </row>
    <row r="115">
      <c r="A115" s="11"/>
      <c r="I115" s="101"/>
    </row>
    <row r="116">
      <c r="A116" s="11"/>
      <c r="I116" s="101"/>
    </row>
    <row r="117">
      <c r="A117" s="11"/>
      <c r="I117" s="101"/>
    </row>
    <row r="118">
      <c r="A118" s="11"/>
      <c r="I118" s="101"/>
    </row>
    <row r="119">
      <c r="A119" s="11"/>
      <c r="I119" s="101"/>
    </row>
    <row r="120">
      <c r="A120" s="11"/>
      <c r="I120" s="101"/>
    </row>
    <row r="121">
      <c r="A121" s="11"/>
      <c r="I121" s="101"/>
    </row>
    <row r="122">
      <c r="A122" s="11"/>
      <c r="I122" s="101"/>
    </row>
    <row r="123">
      <c r="A123" s="11"/>
      <c r="I123" s="101"/>
    </row>
    <row r="124">
      <c r="A124" s="11"/>
      <c r="I124" s="101"/>
    </row>
    <row r="125">
      <c r="A125" s="11"/>
      <c r="I125" s="101"/>
    </row>
    <row r="126">
      <c r="A126" s="11"/>
      <c r="I126" s="101"/>
    </row>
    <row r="127">
      <c r="A127" s="11"/>
      <c r="I127" s="101"/>
    </row>
    <row r="128">
      <c r="A128" s="11"/>
      <c r="I128" s="101"/>
    </row>
    <row r="129">
      <c r="A129" s="11"/>
      <c r="I129" s="101"/>
    </row>
    <row r="130">
      <c r="A130" s="11"/>
      <c r="I130" s="101"/>
    </row>
    <row r="131">
      <c r="A131" s="11"/>
      <c r="I131" s="101"/>
    </row>
    <row r="132">
      <c r="A132" s="11"/>
      <c r="I132" s="101"/>
    </row>
    <row r="133">
      <c r="A133" s="11"/>
      <c r="I133" s="101"/>
    </row>
    <row r="134">
      <c r="A134" s="11"/>
      <c r="I134" s="101"/>
    </row>
    <row r="135">
      <c r="A135" s="11"/>
      <c r="I135" s="101"/>
    </row>
    <row r="136">
      <c r="A136" s="11"/>
      <c r="I136" s="101"/>
    </row>
    <row r="137">
      <c r="A137" s="11"/>
      <c r="I137" s="101"/>
    </row>
    <row r="138">
      <c r="A138" s="11"/>
      <c r="I138" s="101"/>
    </row>
    <row r="139">
      <c r="A139" s="11"/>
      <c r="I139" s="101"/>
    </row>
    <row r="140">
      <c r="A140" s="11"/>
      <c r="I140" s="101"/>
    </row>
    <row r="141">
      <c r="A141" s="11"/>
      <c r="I141" s="101"/>
    </row>
    <row r="142">
      <c r="A142" s="11"/>
      <c r="I142" s="101"/>
    </row>
    <row r="143">
      <c r="A143" s="11"/>
      <c r="I143" s="101"/>
    </row>
    <row r="144">
      <c r="A144" s="11"/>
      <c r="I144" s="101"/>
    </row>
    <row r="145">
      <c r="A145" s="11"/>
      <c r="I145" s="101"/>
    </row>
    <row r="146">
      <c r="A146" s="11"/>
      <c r="I146" s="101"/>
    </row>
    <row r="147">
      <c r="A147" s="11"/>
      <c r="I147" s="101"/>
    </row>
    <row r="148">
      <c r="A148" s="11"/>
      <c r="I148" s="101"/>
    </row>
    <row r="149">
      <c r="A149" s="11"/>
      <c r="I149" s="101"/>
    </row>
    <row r="150">
      <c r="A150" s="11"/>
      <c r="I150" s="101"/>
    </row>
    <row r="151">
      <c r="A151" s="11"/>
      <c r="I151" s="101"/>
    </row>
    <row r="152">
      <c r="A152" s="11"/>
      <c r="I152" s="101"/>
    </row>
    <row r="153">
      <c r="A153" s="11"/>
      <c r="I153" s="101"/>
    </row>
    <row r="154">
      <c r="A154" s="11"/>
      <c r="I154" s="101"/>
    </row>
    <row r="155">
      <c r="A155" s="11"/>
      <c r="I155" s="101"/>
    </row>
    <row r="156">
      <c r="A156" s="11"/>
      <c r="I156" s="101"/>
    </row>
    <row r="157">
      <c r="A157" s="11"/>
      <c r="I157" s="101"/>
    </row>
    <row r="158">
      <c r="A158" s="11"/>
      <c r="I158" s="101"/>
    </row>
    <row r="159">
      <c r="A159" s="11"/>
      <c r="I159" s="101"/>
    </row>
    <row r="160">
      <c r="A160" s="11"/>
      <c r="I160" s="101"/>
    </row>
    <row r="161">
      <c r="A161" s="11"/>
      <c r="I161" s="101"/>
    </row>
    <row r="162">
      <c r="A162" s="11"/>
      <c r="I162" s="101"/>
    </row>
    <row r="163">
      <c r="A163" s="11"/>
      <c r="I163" s="101"/>
    </row>
    <row r="164">
      <c r="A164" s="11"/>
      <c r="I164" s="101"/>
    </row>
    <row r="165">
      <c r="A165" s="11"/>
      <c r="I165" s="101"/>
    </row>
    <row r="166">
      <c r="A166" s="11"/>
      <c r="I166" s="101"/>
    </row>
    <row r="167">
      <c r="A167" s="11"/>
      <c r="I167" s="101"/>
    </row>
    <row r="168">
      <c r="A168" s="11"/>
      <c r="I168" s="101"/>
    </row>
    <row r="169">
      <c r="A169" s="11"/>
      <c r="I169" s="101"/>
    </row>
    <row r="170">
      <c r="A170" s="11"/>
      <c r="I170" s="101"/>
    </row>
    <row r="171">
      <c r="A171" s="11"/>
      <c r="I171" s="101"/>
    </row>
    <row r="172">
      <c r="A172" s="11"/>
      <c r="I172" s="101"/>
    </row>
    <row r="173">
      <c r="A173" s="11"/>
      <c r="I173" s="101"/>
    </row>
    <row r="174">
      <c r="A174" s="11"/>
      <c r="I174" s="101"/>
    </row>
    <row r="175">
      <c r="A175" s="11"/>
      <c r="I175" s="101"/>
    </row>
    <row r="176">
      <c r="A176" s="11"/>
      <c r="I176" s="101"/>
    </row>
    <row r="177">
      <c r="A177" s="11"/>
      <c r="I177" s="101"/>
    </row>
    <row r="178">
      <c r="A178" s="11"/>
      <c r="I178" s="101"/>
    </row>
    <row r="179">
      <c r="A179" s="11"/>
      <c r="I179" s="101"/>
    </row>
    <row r="180">
      <c r="A180" s="11"/>
      <c r="I180" s="101"/>
    </row>
    <row r="181">
      <c r="A181" s="11"/>
      <c r="I181" s="101"/>
    </row>
    <row r="182">
      <c r="A182" s="11"/>
      <c r="I182" s="101"/>
    </row>
    <row r="183">
      <c r="A183" s="11"/>
      <c r="I183" s="101"/>
    </row>
    <row r="184">
      <c r="A184" s="11"/>
      <c r="I184" s="101"/>
    </row>
    <row r="185">
      <c r="A185" s="11"/>
      <c r="I185" s="101"/>
    </row>
    <row r="186">
      <c r="A186" s="11"/>
      <c r="I186" s="101"/>
    </row>
    <row r="187">
      <c r="A187" s="11"/>
      <c r="I187" s="101"/>
    </row>
    <row r="188">
      <c r="A188" s="11"/>
      <c r="I188" s="101"/>
    </row>
    <row r="189">
      <c r="A189" s="11"/>
      <c r="I189" s="101"/>
    </row>
    <row r="190">
      <c r="A190" s="11"/>
      <c r="I190" s="101"/>
    </row>
    <row r="191">
      <c r="A191" s="11"/>
      <c r="I191" s="101"/>
    </row>
    <row r="192">
      <c r="A192" s="11"/>
      <c r="I192" s="101"/>
    </row>
    <row r="193">
      <c r="A193" s="11"/>
      <c r="I193" s="101"/>
    </row>
    <row r="194">
      <c r="A194" s="11"/>
      <c r="I194" s="101"/>
    </row>
    <row r="195">
      <c r="A195" s="11"/>
      <c r="I195" s="101"/>
    </row>
    <row r="196">
      <c r="A196" s="11"/>
      <c r="I196" s="101"/>
    </row>
    <row r="197">
      <c r="A197" s="11"/>
      <c r="I197" s="101"/>
    </row>
    <row r="198">
      <c r="A198" s="11"/>
      <c r="I198" s="101"/>
    </row>
    <row r="199">
      <c r="A199" s="11"/>
      <c r="I199" s="101"/>
    </row>
    <row r="200">
      <c r="A200" s="11"/>
      <c r="I200" s="101"/>
    </row>
    <row r="201">
      <c r="A201" s="11"/>
      <c r="I201" s="101"/>
    </row>
    <row r="202">
      <c r="A202" s="11"/>
      <c r="I202" s="101"/>
    </row>
    <row r="203">
      <c r="A203" s="11"/>
      <c r="I203" s="101"/>
    </row>
    <row r="204">
      <c r="A204" s="11"/>
      <c r="I204" s="101"/>
    </row>
    <row r="205">
      <c r="A205" s="11"/>
      <c r="I205" s="101"/>
    </row>
    <row r="206">
      <c r="A206" s="11"/>
      <c r="I206" s="101"/>
    </row>
    <row r="207">
      <c r="A207" s="11"/>
      <c r="I207" s="101"/>
    </row>
    <row r="208">
      <c r="A208" s="11"/>
      <c r="I208" s="101"/>
    </row>
    <row r="209">
      <c r="A209" s="11"/>
      <c r="I209" s="101"/>
    </row>
    <row r="210">
      <c r="A210" s="11"/>
      <c r="I210" s="101"/>
    </row>
    <row r="211">
      <c r="A211" s="11"/>
      <c r="I211" s="101"/>
    </row>
    <row r="212">
      <c r="A212" s="11"/>
      <c r="I212" s="101"/>
    </row>
    <row r="213">
      <c r="A213" s="11"/>
      <c r="I213" s="101"/>
    </row>
    <row r="214">
      <c r="A214" s="11"/>
      <c r="I214" s="101"/>
    </row>
    <row r="215">
      <c r="A215" s="11"/>
      <c r="I215" s="101"/>
    </row>
    <row r="216">
      <c r="A216" s="11"/>
      <c r="I216" s="101"/>
    </row>
    <row r="217">
      <c r="A217" s="11"/>
      <c r="I217" s="101"/>
    </row>
    <row r="218">
      <c r="A218" s="11"/>
      <c r="I218" s="101"/>
    </row>
    <row r="219">
      <c r="A219" s="11"/>
      <c r="I219" s="101"/>
    </row>
    <row r="220">
      <c r="A220" s="11"/>
      <c r="I220" s="101"/>
    </row>
    <row r="221">
      <c r="A221" s="11"/>
      <c r="I221" s="101"/>
    </row>
    <row r="222">
      <c r="A222" s="11"/>
      <c r="I222" s="101"/>
    </row>
    <row r="223">
      <c r="A223" s="11"/>
      <c r="I223" s="101"/>
    </row>
    <row r="224">
      <c r="A224" s="11"/>
      <c r="I224" s="101"/>
    </row>
    <row r="225">
      <c r="A225" s="11"/>
      <c r="I225" s="101"/>
    </row>
    <row r="226">
      <c r="A226" s="11"/>
      <c r="I226" s="101"/>
    </row>
    <row r="227">
      <c r="A227" s="11"/>
      <c r="I227" s="101"/>
    </row>
    <row r="228">
      <c r="A228" s="11"/>
      <c r="I228" s="101"/>
    </row>
    <row r="229">
      <c r="A229" s="11"/>
      <c r="I229" s="101"/>
    </row>
    <row r="230">
      <c r="A230" s="11"/>
      <c r="I230" s="101"/>
    </row>
    <row r="231">
      <c r="A231" s="11"/>
      <c r="I231" s="101"/>
    </row>
    <row r="232">
      <c r="A232" s="11"/>
      <c r="I232" s="101"/>
    </row>
    <row r="233">
      <c r="A233" s="11"/>
      <c r="I233" s="101"/>
    </row>
    <row r="234">
      <c r="A234" s="11"/>
      <c r="I234" s="101"/>
    </row>
    <row r="235">
      <c r="A235" s="11"/>
      <c r="I235" s="101"/>
    </row>
    <row r="236">
      <c r="A236" s="11"/>
      <c r="I236" s="101"/>
    </row>
    <row r="237">
      <c r="A237" s="11"/>
      <c r="I237" s="101"/>
    </row>
    <row r="238">
      <c r="A238" s="11"/>
      <c r="I238" s="101"/>
    </row>
    <row r="239">
      <c r="A239" s="11"/>
      <c r="I239" s="101"/>
    </row>
    <row r="240">
      <c r="A240" s="11"/>
      <c r="I240" s="101"/>
    </row>
    <row r="241">
      <c r="A241" s="11"/>
      <c r="I241" s="101"/>
    </row>
    <row r="242">
      <c r="A242" s="11"/>
      <c r="I242" s="101"/>
    </row>
    <row r="243">
      <c r="A243" s="11"/>
      <c r="I243" s="101"/>
    </row>
    <row r="244">
      <c r="A244" s="11"/>
      <c r="I244" s="101"/>
    </row>
    <row r="245">
      <c r="A245" s="11"/>
      <c r="I245" s="101"/>
    </row>
    <row r="246">
      <c r="A246" s="11"/>
      <c r="I246" s="101"/>
    </row>
    <row r="247">
      <c r="A247" s="11"/>
      <c r="I247" s="101"/>
    </row>
    <row r="248">
      <c r="A248" s="11"/>
      <c r="I248" s="101"/>
    </row>
    <row r="249">
      <c r="A249" s="11"/>
      <c r="I249" s="101"/>
    </row>
    <row r="250">
      <c r="A250" s="11"/>
      <c r="I250" s="101"/>
    </row>
    <row r="251">
      <c r="A251" s="11"/>
      <c r="I251" s="101"/>
    </row>
    <row r="252">
      <c r="A252" s="11"/>
      <c r="I252" s="101"/>
    </row>
    <row r="253">
      <c r="A253" s="11"/>
      <c r="I253" s="101"/>
    </row>
    <row r="254">
      <c r="A254" s="11"/>
      <c r="I254" s="101"/>
    </row>
    <row r="255">
      <c r="A255" s="11"/>
      <c r="I255" s="101"/>
    </row>
    <row r="256">
      <c r="A256" s="11"/>
      <c r="I256" s="101"/>
    </row>
    <row r="257">
      <c r="A257" s="11"/>
      <c r="I257" s="101"/>
    </row>
    <row r="258">
      <c r="A258" s="11"/>
      <c r="I258" s="101"/>
    </row>
    <row r="259">
      <c r="A259" s="11"/>
      <c r="I259" s="101"/>
    </row>
    <row r="260">
      <c r="A260" s="11"/>
      <c r="I260" s="101"/>
    </row>
    <row r="261">
      <c r="A261" s="11"/>
      <c r="I261" s="101"/>
    </row>
    <row r="262">
      <c r="A262" s="11"/>
      <c r="I262" s="101"/>
    </row>
    <row r="263">
      <c r="A263" s="11"/>
      <c r="I263" s="101"/>
    </row>
    <row r="264">
      <c r="A264" s="11"/>
      <c r="I264" s="101"/>
    </row>
    <row r="265">
      <c r="A265" s="11"/>
      <c r="I265" s="101"/>
    </row>
    <row r="266">
      <c r="A266" s="11"/>
      <c r="I266" s="101"/>
    </row>
    <row r="267">
      <c r="A267" s="11"/>
      <c r="I267" s="101"/>
    </row>
    <row r="268">
      <c r="A268" s="11"/>
      <c r="I268" s="101"/>
    </row>
    <row r="269">
      <c r="A269" s="11"/>
      <c r="I269" s="101"/>
    </row>
    <row r="270">
      <c r="A270" s="11"/>
      <c r="I270" s="101"/>
    </row>
    <row r="271">
      <c r="A271" s="11"/>
      <c r="I271" s="101"/>
    </row>
    <row r="272">
      <c r="A272" s="11"/>
      <c r="I272" s="101"/>
    </row>
    <row r="273">
      <c r="A273" s="11"/>
      <c r="I273" s="101"/>
    </row>
    <row r="274">
      <c r="A274" s="11"/>
      <c r="I274" s="101"/>
    </row>
    <row r="275">
      <c r="A275" s="11"/>
      <c r="I275" s="101"/>
    </row>
    <row r="276">
      <c r="A276" s="11"/>
      <c r="I276" s="101"/>
    </row>
    <row r="277">
      <c r="A277" s="11"/>
      <c r="I277" s="101"/>
    </row>
    <row r="278">
      <c r="A278" s="11"/>
      <c r="I278" s="101"/>
    </row>
    <row r="279">
      <c r="A279" s="11"/>
      <c r="I279" s="101"/>
    </row>
    <row r="280">
      <c r="A280" s="11"/>
      <c r="I280" s="101"/>
    </row>
    <row r="281">
      <c r="A281" s="11"/>
      <c r="I281" s="101"/>
    </row>
    <row r="282">
      <c r="A282" s="11"/>
      <c r="I282" s="101"/>
    </row>
    <row r="283">
      <c r="A283" s="11"/>
      <c r="I283" s="101"/>
    </row>
    <row r="284">
      <c r="A284" s="11"/>
      <c r="I284" s="101"/>
    </row>
    <row r="285">
      <c r="A285" s="11"/>
      <c r="I285" s="101"/>
    </row>
    <row r="286">
      <c r="A286" s="11"/>
      <c r="I286" s="101"/>
    </row>
    <row r="287">
      <c r="A287" s="11"/>
      <c r="I287" s="101"/>
    </row>
    <row r="288">
      <c r="A288" s="11"/>
      <c r="I288" s="101"/>
    </row>
    <row r="289">
      <c r="A289" s="11"/>
      <c r="I289" s="101"/>
    </row>
    <row r="290">
      <c r="A290" s="11"/>
      <c r="I290" s="101"/>
    </row>
    <row r="291">
      <c r="A291" s="11"/>
      <c r="I291" s="101"/>
    </row>
    <row r="292">
      <c r="A292" s="11"/>
      <c r="I292" s="101"/>
    </row>
    <row r="293">
      <c r="A293" s="11"/>
      <c r="I293" s="101"/>
    </row>
    <row r="294">
      <c r="A294" s="11"/>
      <c r="I294" s="101"/>
    </row>
    <row r="295">
      <c r="A295" s="11"/>
      <c r="I295" s="101"/>
    </row>
    <row r="296">
      <c r="A296" s="11"/>
      <c r="I296" s="101"/>
    </row>
    <row r="297">
      <c r="A297" s="11"/>
      <c r="I297" s="101"/>
    </row>
    <row r="298">
      <c r="A298" s="11"/>
      <c r="I298" s="101"/>
    </row>
    <row r="299">
      <c r="A299" s="11"/>
      <c r="I299" s="101"/>
    </row>
    <row r="300">
      <c r="A300" s="11"/>
      <c r="I300" s="101"/>
    </row>
    <row r="301">
      <c r="A301" s="11"/>
      <c r="I301" s="101"/>
    </row>
    <row r="302">
      <c r="A302" s="11"/>
      <c r="I302" s="101"/>
    </row>
    <row r="303">
      <c r="A303" s="11"/>
      <c r="I303" s="101"/>
    </row>
    <row r="304">
      <c r="A304" s="11"/>
      <c r="I304" s="101"/>
    </row>
    <row r="305">
      <c r="A305" s="11"/>
      <c r="I305" s="101"/>
    </row>
    <row r="306">
      <c r="A306" s="11"/>
      <c r="I306" s="101"/>
    </row>
    <row r="307">
      <c r="A307" s="11"/>
      <c r="I307" s="101"/>
    </row>
    <row r="308">
      <c r="A308" s="11"/>
      <c r="I308" s="101"/>
    </row>
    <row r="309">
      <c r="A309" s="11"/>
      <c r="I309" s="101"/>
    </row>
    <row r="310">
      <c r="A310" s="11"/>
      <c r="I310" s="101"/>
    </row>
    <row r="311">
      <c r="A311" s="11"/>
      <c r="I311" s="101"/>
    </row>
    <row r="312">
      <c r="A312" s="11"/>
      <c r="I312" s="101"/>
    </row>
    <row r="313">
      <c r="A313" s="11"/>
      <c r="I313" s="101"/>
    </row>
    <row r="314">
      <c r="A314" s="11"/>
      <c r="I314" s="101"/>
    </row>
    <row r="315">
      <c r="A315" s="11"/>
      <c r="I315" s="101"/>
    </row>
    <row r="316">
      <c r="A316" s="11"/>
      <c r="I316" s="101"/>
    </row>
    <row r="317">
      <c r="A317" s="11"/>
      <c r="I317" s="101"/>
    </row>
    <row r="318">
      <c r="A318" s="11"/>
      <c r="I318" s="101"/>
    </row>
    <row r="319">
      <c r="A319" s="11"/>
      <c r="I319" s="101"/>
    </row>
    <row r="320">
      <c r="A320" s="11"/>
      <c r="I320" s="101"/>
    </row>
    <row r="321">
      <c r="A321" s="11"/>
      <c r="I321" s="101"/>
    </row>
    <row r="322">
      <c r="A322" s="11"/>
      <c r="I322" s="101"/>
    </row>
    <row r="323">
      <c r="A323" s="11"/>
      <c r="I323" s="101"/>
    </row>
    <row r="324">
      <c r="A324" s="11"/>
      <c r="I324" s="101"/>
    </row>
    <row r="325">
      <c r="A325" s="11"/>
      <c r="I325" s="101"/>
    </row>
    <row r="326">
      <c r="A326" s="11"/>
      <c r="I326" s="101"/>
    </row>
    <row r="327">
      <c r="A327" s="11"/>
      <c r="I327" s="101"/>
    </row>
    <row r="328">
      <c r="A328" s="11"/>
      <c r="I328" s="101"/>
    </row>
    <row r="329">
      <c r="A329" s="11"/>
      <c r="I329" s="101"/>
    </row>
    <row r="330">
      <c r="A330" s="11"/>
      <c r="I330" s="101"/>
    </row>
    <row r="331">
      <c r="A331" s="11"/>
      <c r="I331" s="101"/>
    </row>
    <row r="332">
      <c r="A332" s="11"/>
      <c r="I332" s="101"/>
    </row>
    <row r="333">
      <c r="A333" s="11"/>
      <c r="I333" s="101"/>
    </row>
    <row r="334">
      <c r="A334" s="11"/>
      <c r="I334" s="101"/>
    </row>
    <row r="335">
      <c r="A335" s="11"/>
      <c r="I335" s="101"/>
    </row>
    <row r="336">
      <c r="A336" s="11"/>
      <c r="I336" s="101"/>
    </row>
    <row r="337">
      <c r="A337" s="11"/>
      <c r="I337" s="101"/>
    </row>
    <row r="338">
      <c r="A338" s="11"/>
      <c r="I338" s="101"/>
    </row>
    <row r="339">
      <c r="A339" s="11"/>
      <c r="I339" s="101"/>
    </row>
    <row r="340">
      <c r="A340" s="11"/>
      <c r="I340" s="101"/>
    </row>
    <row r="341">
      <c r="A341" s="11"/>
      <c r="I341" s="101"/>
    </row>
    <row r="342">
      <c r="A342" s="11"/>
      <c r="I342" s="101"/>
    </row>
    <row r="343">
      <c r="A343" s="11"/>
      <c r="I343" s="101"/>
    </row>
    <row r="344">
      <c r="A344" s="11"/>
      <c r="I344" s="101"/>
    </row>
    <row r="345">
      <c r="A345" s="11"/>
      <c r="I345" s="101"/>
    </row>
    <row r="346">
      <c r="A346" s="11"/>
      <c r="I346" s="101"/>
    </row>
    <row r="347">
      <c r="A347" s="11"/>
      <c r="I347" s="101"/>
    </row>
    <row r="348">
      <c r="A348" s="11"/>
      <c r="I348" s="101"/>
    </row>
    <row r="349">
      <c r="A349" s="11"/>
      <c r="I349" s="101"/>
    </row>
    <row r="350">
      <c r="A350" s="11"/>
      <c r="I350" s="101"/>
    </row>
    <row r="351">
      <c r="A351" s="11"/>
      <c r="I351" s="101"/>
    </row>
    <row r="352">
      <c r="A352" s="11"/>
      <c r="I352" s="101"/>
    </row>
    <row r="353">
      <c r="A353" s="11"/>
      <c r="I353" s="101"/>
    </row>
    <row r="354">
      <c r="A354" s="11"/>
      <c r="I354" s="101"/>
    </row>
    <row r="355">
      <c r="A355" s="11"/>
      <c r="I355" s="101"/>
    </row>
    <row r="356">
      <c r="A356" s="11"/>
      <c r="I356" s="101"/>
    </row>
    <row r="357">
      <c r="A357" s="11"/>
      <c r="I357" s="101"/>
    </row>
    <row r="358">
      <c r="A358" s="11"/>
      <c r="I358" s="101"/>
    </row>
    <row r="359">
      <c r="A359" s="11"/>
      <c r="I359" s="101"/>
    </row>
    <row r="360">
      <c r="A360" s="11"/>
      <c r="I360" s="101"/>
    </row>
    <row r="361">
      <c r="A361" s="11"/>
      <c r="I361" s="101"/>
    </row>
    <row r="362">
      <c r="A362" s="11"/>
      <c r="I362" s="101"/>
    </row>
    <row r="363">
      <c r="A363" s="11"/>
      <c r="I363" s="101"/>
    </row>
    <row r="364">
      <c r="A364" s="11"/>
      <c r="I364" s="101"/>
    </row>
    <row r="365">
      <c r="A365" s="11"/>
      <c r="I365" s="101"/>
    </row>
    <row r="366">
      <c r="A366" s="11"/>
      <c r="I366" s="101"/>
    </row>
    <row r="367">
      <c r="A367" s="11"/>
      <c r="I367" s="101"/>
    </row>
    <row r="368">
      <c r="A368" s="11"/>
      <c r="I368" s="101"/>
    </row>
    <row r="369">
      <c r="A369" s="11"/>
      <c r="I369" s="101"/>
    </row>
    <row r="370">
      <c r="A370" s="11"/>
      <c r="I370" s="101"/>
    </row>
    <row r="371">
      <c r="A371" s="11"/>
      <c r="I371" s="101"/>
    </row>
    <row r="372">
      <c r="A372" s="11"/>
      <c r="I372" s="101"/>
    </row>
    <row r="373">
      <c r="A373" s="11"/>
      <c r="I373" s="101"/>
    </row>
    <row r="374">
      <c r="A374" s="11"/>
      <c r="I374" s="101"/>
    </row>
    <row r="375">
      <c r="A375" s="11"/>
      <c r="I375" s="101"/>
    </row>
    <row r="376">
      <c r="A376" s="11"/>
      <c r="I376" s="101"/>
    </row>
    <row r="377">
      <c r="A377" s="11"/>
      <c r="I377" s="101"/>
    </row>
    <row r="378">
      <c r="A378" s="11"/>
      <c r="I378" s="101"/>
    </row>
    <row r="379">
      <c r="A379" s="11"/>
      <c r="I379" s="101"/>
    </row>
    <row r="380">
      <c r="A380" s="11"/>
      <c r="I380" s="101"/>
    </row>
    <row r="381">
      <c r="A381" s="11"/>
      <c r="I381" s="101"/>
    </row>
    <row r="382">
      <c r="A382" s="11"/>
      <c r="I382" s="101"/>
    </row>
    <row r="383">
      <c r="A383" s="11"/>
      <c r="I383" s="101"/>
    </row>
    <row r="384">
      <c r="A384" s="11"/>
      <c r="I384" s="101"/>
    </row>
    <row r="385">
      <c r="A385" s="11"/>
      <c r="I385" s="101"/>
    </row>
    <row r="386">
      <c r="A386" s="11"/>
      <c r="I386" s="101"/>
    </row>
    <row r="387">
      <c r="A387" s="11"/>
      <c r="I387" s="101"/>
    </row>
    <row r="388">
      <c r="A388" s="11"/>
      <c r="I388" s="101"/>
    </row>
    <row r="389">
      <c r="A389" s="11"/>
      <c r="I389" s="101"/>
    </row>
    <row r="390">
      <c r="A390" s="11"/>
      <c r="I390" s="101"/>
    </row>
    <row r="391">
      <c r="A391" s="11"/>
      <c r="I391" s="101"/>
    </row>
    <row r="392">
      <c r="A392" s="11"/>
      <c r="I392" s="101"/>
    </row>
    <row r="393">
      <c r="A393" s="11"/>
      <c r="I393" s="101"/>
    </row>
    <row r="394">
      <c r="A394" s="11"/>
      <c r="I394" s="101"/>
    </row>
    <row r="395">
      <c r="A395" s="11"/>
      <c r="I395" s="101"/>
    </row>
    <row r="396">
      <c r="A396" s="11"/>
      <c r="I396" s="101"/>
    </row>
    <row r="397">
      <c r="A397" s="11"/>
      <c r="I397" s="101"/>
    </row>
    <row r="398">
      <c r="A398" s="11"/>
      <c r="I398" s="101"/>
    </row>
    <row r="399">
      <c r="A399" s="11"/>
      <c r="I399" s="101"/>
    </row>
    <row r="400">
      <c r="A400" s="11"/>
      <c r="I400" s="101"/>
    </row>
    <row r="401">
      <c r="A401" s="11"/>
      <c r="I401" s="101"/>
    </row>
    <row r="402">
      <c r="A402" s="11"/>
      <c r="I402" s="101"/>
    </row>
    <row r="403">
      <c r="A403" s="11"/>
      <c r="I403" s="101"/>
    </row>
    <row r="404">
      <c r="A404" s="11"/>
      <c r="I404" s="101"/>
    </row>
    <row r="405">
      <c r="A405" s="11"/>
      <c r="I405" s="101"/>
    </row>
    <row r="406">
      <c r="A406" s="11"/>
      <c r="I406" s="101"/>
    </row>
    <row r="407">
      <c r="A407" s="11"/>
      <c r="I407" s="101"/>
    </row>
    <row r="408">
      <c r="A408" s="11"/>
      <c r="I408" s="101"/>
    </row>
    <row r="409">
      <c r="A409" s="11"/>
      <c r="I409" s="101"/>
    </row>
    <row r="410">
      <c r="A410" s="11"/>
      <c r="I410" s="101"/>
    </row>
    <row r="411">
      <c r="A411" s="11"/>
      <c r="I411" s="101"/>
    </row>
    <row r="412">
      <c r="A412" s="11"/>
      <c r="I412" s="101"/>
    </row>
    <row r="413">
      <c r="A413" s="11"/>
      <c r="I413" s="101"/>
    </row>
    <row r="414">
      <c r="A414" s="11"/>
      <c r="I414" s="101"/>
    </row>
    <row r="415">
      <c r="A415" s="11"/>
      <c r="I415" s="101"/>
    </row>
    <row r="416">
      <c r="A416" s="11"/>
      <c r="I416" s="101"/>
    </row>
    <row r="417">
      <c r="A417" s="11"/>
      <c r="I417" s="101"/>
    </row>
    <row r="418">
      <c r="A418" s="11"/>
      <c r="I418" s="101"/>
    </row>
    <row r="419">
      <c r="A419" s="11"/>
      <c r="I419" s="101"/>
    </row>
    <row r="420">
      <c r="A420" s="11"/>
      <c r="I420" s="101"/>
    </row>
    <row r="421">
      <c r="A421" s="11"/>
      <c r="I421" s="101"/>
    </row>
    <row r="422">
      <c r="A422" s="11"/>
      <c r="I422" s="101"/>
    </row>
    <row r="423">
      <c r="A423" s="11"/>
      <c r="I423" s="101"/>
    </row>
    <row r="424">
      <c r="A424" s="11"/>
      <c r="I424" s="101"/>
    </row>
    <row r="425">
      <c r="A425" s="11"/>
      <c r="I425" s="101"/>
    </row>
    <row r="426">
      <c r="A426" s="11"/>
      <c r="I426" s="101"/>
    </row>
    <row r="427">
      <c r="A427" s="11"/>
      <c r="I427" s="101"/>
    </row>
    <row r="428">
      <c r="A428" s="11"/>
      <c r="I428" s="101"/>
    </row>
    <row r="429">
      <c r="A429" s="11"/>
      <c r="I429" s="101"/>
    </row>
    <row r="430">
      <c r="A430" s="11"/>
      <c r="I430" s="101"/>
    </row>
    <row r="431">
      <c r="A431" s="11"/>
      <c r="I431" s="101"/>
    </row>
    <row r="432">
      <c r="A432" s="11"/>
      <c r="I432" s="101"/>
    </row>
    <row r="433">
      <c r="A433" s="11"/>
      <c r="I433" s="101"/>
    </row>
    <row r="434">
      <c r="A434" s="11"/>
      <c r="I434" s="101"/>
    </row>
    <row r="435">
      <c r="A435" s="11"/>
      <c r="I435" s="101"/>
    </row>
    <row r="436">
      <c r="A436" s="11"/>
      <c r="I436" s="101"/>
    </row>
    <row r="437">
      <c r="A437" s="11"/>
      <c r="I437" s="101"/>
    </row>
    <row r="438">
      <c r="A438" s="11"/>
      <c r="I438" s="101"/>
    </row>
    <row r="439">
      <c r="A439" s="11"/>
      <c r="I439" s="101"/>
    </row>
    <row r="440">
      <c r="A440" s="11"/>
      <c r="I440" s="101"/>
    </row>
    <row r="441">
      <c r="A441" s="11"/>
      <c r="I441" s="101"/>
    </row>
    <row r="442">
      <c r="A442" s="11"/>
      <c r="I442" s="101"/>
    </row>
    <row r="443">
      <c r="A443" s="11"/>
      <c r="I443" s="101"/>
    </row>
    <row r="444">
      <c r="A444" s="11"/>
      <c r="I444" s="101"/>
    </row>
    <row r="445">
      <c r="A445" s="11"/>
      <c r="I445" s="101"/>
    </row>
    <row r="446">
      <c r="A446" s="11"/>
      <c r="I446" s="101"/>
    </row>
    <row r="447">
      <c r="A447" s="11"/>
      <c r="I447" s="101"/>
    </row>
    <row r="448">
      <c r="A448" s="11"/>
      <c r="I448" s="101"/>
    </row>
    <row r="449">
      <c r="A449" s="11"/>
      <c r="I449" s="101"/>
    </row>
    <row r="450">
      <c r="A450" s="11"/>
      <c r="I450" s="101"/>
    </row>
    <row r="451">
      <c r="A451" s="11"/>
      <c r="I451" s="101"/>
    </row>
    <row r="452">
      <c r="A452" s="11"/>
      <c r="I452" s="101"/>
    </row>
    <row r="453">
      <c r="A453" s="11"/>
      <c r="I453" s="101"/>
    </row>
    <row r="454">
      <c r="A454" s="11"/>
      <c r="I454" s="101"/>
    </row>
    <row r="455">
      <c r="A455" s="11"/>
      <c r="I455" s="101"/>
    </row>
    <row r="456">
      <c r="A456" s="11"/>
      <c r="I456" s="101"/>
    </row>
    <row r="457">
      <c r="A457" s="11"/>
      <c r="I457" s="101"/>
    </row>
    <row r="458">
      <c r="A458" s="11"/>
      <c r="I458" s="101"/>
    </row>
    <row r="459">
      <c r="A459" s="11"/>
      <c r="I459" s="101"/>
    </row>
    <row r="460">
      <c r="A460" s="11"/>
      <c r="I460" s="101"/>
    </row>
    <row r="461">
      <c r="A461" s="11"/>
      <c r="I461" s="101"/>
    </row>
    <row r="462">
      <c r="A462" s="11"/>
      <c r="I462" s="101"/>
    </row>
    <row r="463">
      <c r="A463" s="11"/>
      <c r="I463" s="101"/>
    </row>
    <row r="464">
      <c r="A464" s="11"/>
      <c r="I464" s="101"/>
    </row>
    <row r="465">
      <c r="A465" s="11"/>
      <c r="I465" s="101"/>
    </row>
    <row r="466">
      <c r="A466" s="11"/>
      <c r="I466" s="101"/>
    </row>
    <row r="467">
      <c r="A467" s="11"/>
      <c r="I467" s="101"/>
    </row>
    <row r="468">
      <c r="A468" s="11"/>
      <c r="I468" s="101"/>
    </row>
    <row r="469">
      <c r="A469" s="11"/>
      <c r="I469" s="101"/>
    </row>
    <row r="470">
      <c r="A470" s="11"/>
      <c r="I470" s="101"/>
    </row>
    <row r="471">
      <c r="A471" s="11"/>
      <c r="I471" s="101"/>
    </row>
    <row r="472">
      <c r="A472" s="11"/>
      <c r="I472" s="101"/>
    </row>
    <row r="473">
      <c r="A473" s="11"/>
      <c r="I473" s="101"/>
    </row>
    <row r="474">
      <c r="A474" s="11"/>
      <c r="I474" s="101"/>
    </row>
    <row r="475">
      <c r="A475" s="11"/>
      <c r="I475" s="101"/>
    </row>
    <row r="476">
      <c r="A476" s="11"/>
      <c r="I476" s="101"/>
    </row>
    <row r="477">
      <c r="A477" s="11"/>
      <c r="I477" s="101"/>
    </row>
    <row r="478">
      <c r="A478" s="11"/>
      <c r="I478" s="101"/>
    </row>
    <row r="479">
      <c r="A479" s="11"/>
      <c r="I479" s="101"/>
    </row>
    <row r="480">
      <c r="A480" s="11"/>
      <c r="I480" s="101"/>
    </row>
    <row r="481">
      <c r="A481" s="11"/>
      <c r="I481" s="101"/>
    </row>
    <row r="482">
      <c r="A482" s="11"/>
      <c r="I482" s="101"/>
    </row>
    <row r="483">
      <c r="A483" s="11"/>
      <c r="I483" s="101"/>
    </row>
    <row r="484">
      <c r="A484" s="11"/>
      <c r="I484" s="101"/>
    </row>
    <row r="485">
      <c r="A485" s="11"/>
      <c r="I485" s="101"/>
    </row>
    <row r="486">
      <c r="A486" s="11"/>
      <c r="I486" s="101"/>
    </row>
    <row r="487">
      <c r="A487" s="11"/>
      <c r="I487" s="101"/>
    </row>
    <row r="488">
      <c r="A488" s="11"/>
      <c r="I488" s="101"/>
    </row>
    <row r="489">
      <c r="A489" s="11"/>
      <c r="I489" s="101"/>
    </row>
    <row r="490">
      <c r="A490" s="11"/>
      <c r="I490" s="101"/>
    </row>
    <row r="491">
      <c r="A491" s="11"/>
      <c r="I491" s="101"/>
    </row>
    <row r="492">
      <c r="A492" s="11"/>
      <c r="I492" s="101"/>
    </row>
    <row r="493">
      <c r="A493" s="11"/>
      <c r="I493" s="101"/>
    </row>
    <row r="494">
      <c r="A494" s="11"/>
      <c r="I494" s="101"/>
    </row>
    <row r="495">
      <c r="A495" s="11"/>
      <c r="I495" s="101"/>
    </row>
    <row r="496">
      <c r="A496" s="11"/>
      <c r="I496" s="101"/>
    </row>
    <row r="497">
      <c r="A497" s="11"/>
      <c r="I497" s="101"/>
    </row>
    <row r="498">
      <c r="A498" s="11"/>
      <c r="I498" s="101"/>
    </row>
    <row r="499">
      <c r="A499" s="11"/>
      <c r="I499" s="101"/>
    </row>
    <row r="500">
      <c r="A500" s="11"/>
      <c r="I500" s="101"/>
    </row>
    <row r="501">
      <c r="A501" s="11"/>
      <c r="I501" s="101"/>
    </row>
    <row r="502">
      <c r="A502" s="11"/>
      <c r="I502" s="101"/>
    </row>
    <row r="503">
      <c r="A503" s="11"/>
      <c r="I503" s="101"/>
    </row>
    <row r="504">
      <c r="A504" s="11"/>
      <c r="I504" s="101"/>
    </row>
    <row r="505">
      <c r="A505" s="11"/>
      <c r="I505" s="101"/>
    </row>
    <row r="506">
      <c r="A506" s="11"/>
      <c r="I506" s="101"/>
    </row>
    <row r="507">
      <c r="A507" s="11"/>
      <c r="I507" s="101"/>
    </row>
    <row r="508">
      <c r="A508" s="11"/>
      <c r="I508" s="101"/>
    </row>
    <row r="509">
      <c r="A509" s="11"/>
      <c r="I509" s="101"/>
    </row>
    <row r="510">
      <c r="A510" s="11"/>
      <c r="I510" s="101"/>
    </row>
    <row r="511">
      <c r="A511" s="11"/>
      <c r="I511" s="101"/>
    </row>
    <row r="512">
      <c r="A512" s="11"/>
      <c r="I512" s="101"/>
    </row>
    <row r="513">
      <c r="A513" s="11"/>
      <c r="I513" s="101"/>
    </row>
    <row r="514">
      <c r="A514" s="11"/>
      <c r="I514" s="101"/>
    </row>
    <row r="515">
      <c r="A515" s="11"/>
      <c r="I515" s="101"/>
    </row>
    <row r="516">
      <c r="A516" s="11"/>
      <c r="I516" s="101"/>
    </row>
    <row r="517">
      <c r="A517" s="11"/>
      <c r="I517" s="101"/>
    </row>
    <row r="518">
      <c r="A518" s="11"/>
      <c r="I518" s="101"/>
    </row>
    <row r="519">
      <c r="A519" s="11"/>
      <c r="I519" s="101"/>
    </row>
    <row r="520">
      <c r="A520" s="11"/>
      <c r="I520" s="101"/>
    </row>
    <row r="521">
      <c r="A521" s="11"/>
      <c r="I521" s="101"/>
    </row>
    <row r="522">
      <c r="A522" s="11"/>
      <c r="I522" s="101"/>
    </row>
    <row r="523">
      <c r="A523" s="11"/>
      <c r="I523" s="101"/>
    </row>
    <row r="524">
      <c r="A524" s="11"/>
      <c r="I524" s="101"/>
    </row>
    <row r="525">
      <c r="A525" s="11"/>
      <c r="I525" s="101"/>
    </row>
    <row r="526">
      <c r="A526" s="11"/>
      <c r="I526" s="101"/>
    </row>
    <row r="527">
      <c r="A527" s="11"/>
      <c r="I527" s="101"/>
    </row>
    <row r="528">
      <c r="A528" s="11"/>
      <c r="I528" s="101"/>
    </row>
    <row r="529">
      <c r="A529" s="11"/>
      <c r="I529" s="101"/>
    </row>
    <row r="530">
      <c r="A530" s="11"/>
      <c r="I530" s="101"/>
    </row>
    <row r="531">
      <c r="A531" s="11"/>
      <c r="I531" s="101"/>
    </row>
    <row r="532">
      <c r="A532" s="11"/>
      <c r="I532" s="101"/>
    </row>
    <row r="533">
      <c r="A533" s="11"/>
      <c r="I533" s="101"/>
    </row>
    <row r="534">
      <c r="A534" s="11"/>
      <c r="I534" s="101"/>
    </row>
    <row r="535">
      <c r="A535" s="11"/>
      <c r="I535" s="101"/>
    </row>
    <row r="536">
      <c r="A536" s="11"/>
      <c r="I536" s="101"/>
    </row>
    <row r="537">
      <c r="A537" s="11"/>
      <c r="I537" s="101"/>
    </row>
    <row r="538">
      <c r="A538" s="11"/>
      <c r="I538" s="101"/>
    </row>
    <row r="539">
      <c r="A539" s="11"/>
      <c r="I539" s="101"/>
    </row>
    <row r="540">
      <c r="A540" s="11"/>
      <c r="I540" s="101"/>
    </row>
    <row r="541">
      <c r="A541" s="11"/>
      <c r="I541" s="101"/>
    </row>
    <row r="542">
      <c r="A542" s="11"/>
      <c r="I542" s="101"/>
    </row>
    <row r="543">
      <c r="A543" s="11"/>
      <c r="I543" s="101"/>
    </row>
    <row r="544">
      <c r="A544" s="11"/>
      <c r="I544" s="101"/>
    </row>
    <row r="545">
      <c r="A545" s="11"/>
      <c r="I545" s="101"/>
    </row>
    <row r="546">
      <c r="A546" s="11"/>
      <c r="I546" s="101"/>
    </row>
    <row r="547">
      <c r="A547" s="11"/>
      <c r="I547" s="101"/>
    </row>
    <row r="548">
      <c r="A548" s="11"/>
      <c r="I548" s="101"/>
    </row>
    <row r="549">
      <c r="A549" s="11"/>
      <c r="I549" s="101"/>
    </row>
    <row r="550">
      <c r="A550" s="11"/>
      <c r="I550" s="101"/>
    </row>
    <row r="551">
      <c r="A551" s="11"/>
      <c r="I551" s="101"/>
    </row>
    <row r="552">
      <c r="A552" s="11"/>
      <c r="I552" s="101"/>
    </row>
    <row r="553">
      <c r="A553" s="11"/>
      <c r="I553" s="101"/>
    </row>
    <row r="554">
      <c r="A554" s="11"/>
      <c r="I554" s="101"/>
    </row>
    <row r="555">
      <c r="A555" s="11"/>
      <c r="I555" s="101"/>
    </row>
    <row r="556">
      <c r="A556" s="11"/>
      <c r="I556" s="101"/>
    </row>
    <row r="557">
      <c r="A557" s="11"/>
      <c r="I557" s="101"/>
    </row>
    <row r="558">
      <c r="A558" s="11"/>
      <c r="I558" s="101"/>
    </row>
    <row r="559">
      <c r="A559" s="11"/>
      <c r="I559" s="101"/>
    </row>
    <row r="560">
      <c r="A560" s="11"/>
      <c r="I560" s="101"/>
    </row>
    <row r="561">
      <c r="A561" s="11"/>
      <c r="I561" s="101"/>
    </row>
    <row r="562">
      <c r="A562" s="11"/>
      <c r="I562" s="101"/>
    </row>
    <row r="563">
      <c r="A563" s="11"/>
      <c r="I563" s="101"/>
    </row>
    <row r="564">
      <c r="A564" s="11"/>
      <c r="I564" s="101"/>
    </row>
    <row r="565">
      <c r="A565" s="11"/>
      <c r="I565" s="101"/>
    </row>
    <row r="566">
      <c r="A566" s="11"/>
      <c r="I566" s="101"/>
    </row>
    <row r="567">
      <c r="A567" s="11"/>
      <c r="I567" s="101"/>
    </row>
    <row r="568">
      <c r="A568" s="11"/>
      <c r="I568" s="101"/>
    </row>
    <row r="569">
      <c r="A569" s="11"/>
      <c r="I569" s="101"/>
    </row>
    <row r="570">
      <c r="A570" s="11"/>
      <c r="I570" s="101"/>
    </row>
    <row r="571">
      <c r="A571" s="11"/>
      <c r="I571" s="101"/>
    </row>
    <row r="572">
      <c r="A572" s="11"/>
      <c r="I572" s="101"/>
    </row>
    <row r="573">
      <c r="A573" s="11"/>
      <c r="I573" s="101"/>
    </row>
    <row r="574">
      <c r="A574" s="11"/>
      <c r="I574" s="101"/>
    </row>
    <row r="575">
      <c r="A575" s="11"/>
      <c r="I575" s="101"/>
    </row>
    <row r="576">
      <c r="A576" s="11"/>
      <c r="I576" s="101"/>
    </row>
    <row r="577">
      <c r="A577" s="11"/>
      <c r="I577" s="101"/>
    </row>
    <row r="578">
      <c r="A578" s="11"/>
      <c r="I578" s="101"/>
    </row>
    <row r="579">
      <c r="A579" s="11"/>
      <c r="I579" s="101"/>
    </row>
    <row r="580">
      <c r="A580" s="11"/>
      <c r="I580" s="101"/>
    </row>
    <row r="581">
      <c r="A581" s="11"/>
      <c r="I581" s="101"/>
    </row>
    <row r="582">
      <c r="A582" s="11"/>
      <c r="I582" s="101"/>
    </row>
    <row r="583">
      <c r="A583" s="11"/>
      <c r="I583" s="101"/>
    </row>
    <row r="584">
      <c r="A584" s="11"/>
      <c r="I584" s="101"/>
    </row>
    <row r="585">
      <c r="A585" s="11"/>
      <c r="I585" s="101"/>
    </row>
    <row r="586">
      <c r="A586" s="11"/>
      <c r="I586" s="101"/>
    </row>
    <row r="587">
      <c r="A587" s="11"/>
      <c r="I587" s="101"/>
    </row>
    <row r="588">
      <c r="A588" s="11"/>
      <c r="I588" s="101"/>
    </row>
    <row r="589">
      <c r="A589" s="11"/>
      <c r="I589" s="101"/>
    </row>
    <row r="590">
      <c r="A590" s="11"/>
      <c r="I590" s="101"/>
    </row>
    <row r="591">
      <c r="A591" s="11"/>
      <c r="I591" s="101"/>
    </row>
    <row r="592">
      <c r="A592" s="11"/>
      <c r="I592" s="101"/>
    </row>
    <row r="593">
      <c r="A593" s="11"/>
      <c r="I593" s="101"/>
    </row>
    <row r="594">
      <c r="A594" s="11"/>
      <c r="I594" s="101"/>
    </row>
    <row r="595">
      <c r="A595" s="11"/>
      <c r="I595" s="101"/>
    </row>
    <row r="596">
      <c r="A596" s="11"/>
      <c r="I596" s="101"/>
    </row>
    <row r="597">
      <c r="A597" s="11"/>
      <c r="I597" s="101"/>
    </row>
    <row r="598">
      <c r="A598" s="11"/>
      <c r="I598" s="101"/>
    </row>
    <row r="599">
      <c r="A599" s="11"/>
      <c r="I599" s="101"/>
    </row>
    <row r="600">
      <c r="A600" s="11"/>
      <c r="I600" s="101"/>
    </row>
    <row r="601">
      <c r="A601" s="11"/>
      <c r="I601" s="101"/>
    </row>
    <row r="602">
      <c r="A602" s="11"/>
      <c r="I602" s="101"/>
    </row>
    <row r="603">
      <c r="A603" s="11"/>
      <c r="I603" s="101"/>
    </row>
    <row r="604">
      <c r="A604" s="11"/>
      <c r="I604" s="101"/>
    </row>
    <row r="605">
      <c r="A605" s="11"/>
      <c r="I605" s="101"/>
    </row>
    <row r="606">
      <c r="A606" s="11"/>
      <c r="I606" s="101"/>
    </row>
    <row r="607">
      <c r="A607" s="11"/>
      <c r="I607" s="101"/>
    </row>
    <row r="608">
      <c r="A608" s="11"/>
      <c r="I608" s="101"/>
    </row>
    <row r="609">
      <c r="A609" s="11"/>
      <c r="I609" s="101"/>
    </row>
    <row r="610">
      <c r="A610" s="11"/>
      <c r="I610" s="101"/>
    </row>
    <row r="611">
      <c r="A611" s="11"/>
      <c r="I611" s="101"/>
    </row>
    <row r="612">
      <c r="A612" s="11"/>
      <c r="I612" s="101"/>
    </row>
    <row r="613">
      <c r="A613" s="11"/>
      <c r="I613" s="101"/>
    </row>
    <row r="614">
      <c r="A614" s="11"/>
      <c r="I614" s="101"/>
    </row>
    <row r="615">
      <c r="A615" s="11"/>
      <c r="I615" s="101"/>
    </row>
    <row r="616">
      <c r="A616" s="11"/>
      <c r="I616" s="101"/>
    </row>
    <row r="617">
      <c r="A617" s="11"/>
      <c r="I617" s="101"/>
    </row>
    <row r="618">
      <c r="A618" s="11"/>
      <c r="I618" s="101"/>
    </row>
    <row r="619">
      <c r="A619" s="11"/>
      <c r="I619" s="101"/>
    </row>
    <row r="620">
      <c r="A620" s="11"/>
      <c r="I620" s="101"/>
    </row>
    <row r="621">
      <c r="A621" s="11"/>
      <c r="I621" s="101"/>
    </row>
    <row r="622">
      <c r="A622" s="11"/>
      <c r="I622" s="101"/>
    </row>
    <row r="623">
      <c r="A623" s="11"/>
      <c r="I623" s="101"/>
    </row>
    <row r="624">
      <c r="A624" s="11"/>
      <c r="I624" s="101"/>
    </row>
    <row r="625">
      <c r="A625" s="11"/>
      <c r="I625" s="101"/>
    </row>
    <row r="626">
      <c r="A626" s="11"/>
      <c r="I626" s="101"/>
    </row>
    <row r="627">
      <c r="A627" s="11"/>
      <c r="I627" s="101"/>
    </row>
    <row r="628">
      <c r="A628" s="11"/>
      <c r="I628" s="101"/>
    </row>
    <row r="629">
      <c r="A629" s="11"/>
      <c r="I629" s="101"/>
    </row>
    <row r="630">
      <c r="A630" s="11"/>
      <c r="I630" s="101"/>
    </row>
    <row r="631">
      <c r="A631" s="11"/>
      <c r="I631" s="101"/>
    </row>
    <row r="632">
      <c r="A632" s="11"/>
      <c r="I632" s="101"/>
    </row>
    <row r="633">
      <c r="A633" s="11"/>
      <c r="I633" s="101"/>
    </row>
    <row r="634">
      <c r="A634" s="11"/>
      <c r="I634" s="101"/>
    </row>
    <row r="635">
      <c r="A635" s="11"/>
      <c r="I635" s="101"/>
    </row>
    <row r="636">
      <c r="A636" s="11"/>
      <c r="I636" s="101"/>
    </row>
    <row r="637">
      <c r="A637" s="11"/>
      <c r="I637" s="101"/>
    </row>
    <row r="638">
      <c r="A638" s="11"/>
      <c r="I638" s="101"/>
    </row>
    <row r="639">
      <c r="A639" s="11"/>
      <c r="I639" s="101"/>
    </row>
    <row r="640">
      <c r="A640" s="11"/>
      <c r="I640" s="101"/>
    </row>
    <row r="641">
      <c r="A641" s="11"/>
      <c r="I641" s="101"/>
    </row>
    <row r="642">
      <c r="A642" s="11"/>
      <c r="I642" s="101"/>
    </row>
    <row r="643">
      <c r="A643" s="11"/>
      <c r="I643" s="101"/>
    </row>
    <row r="644">
      <c r="A644" s="11"/>
      <c r="I644" s="101"/>
    </row>
    <row r="645">
      <c r="A645" s="11"/>
      <c r="I645" s="101"/>
    </row>
    <row r="646">
      <c r="A646" s="11"/>
      <c r="I646" s="101"/>
    </row>
    <row r="647">
      <c r="A647" s="11"/>
      <c r="I647" s="101"/>
    </row>
    <row r="648">
      <c r="A648" s="11"/>
      <c r="I648" s="101"/>
    </row>
    <row r="649">
      <c r="A649" s="11"/>
      <c r="I649" s="101"/>
    </row>
    <row r="650">
      <c r="A650" s="11"/>
      <c r="I650" s="101"/>
    </row>
    <row r="651">
      <c r="A651" s="11"/>
      <c r="I651" s="101"/>
    </row>
    <row r="652">
      <c r="A652" s="11"/>
      <c r="I652" s="101"/>
    </row>
    <row r="653">
      <c r="A653" s="11"/>
      <c r="I653" s="101"/>
    </row>
    <row r="654">
      <c r="A654" s="11"/>
      <c r="I654" s="101"/>
    </row>
    <row r="655">
      <c r="A655" s="11"/>
      <c r="I655" s="101"/>
    </row>
    <row r="656">
      <c r="A656" s="11"/>
      <c r="I656" s="101"/>
    </row>
    <row r="657">
      <c r="A657" s="11"/>
      <c r="I657" s="101"/>
    </row>
    <row r="658">
      <c r="A658" s="11"/>
      <c r="I658" s="101"/>
    </row>
    <row r="659">
      <c r="A659" s="11"/>
      <c r="I659" s="101"/>
    </row>
    <row r="660">
      <c r="A660" s="11"/>
      <c r="I660" s="101"/>
    </row>
    <row r="661">
      <c r="A661" s="11"/>
      <c r="I661" s="101"/>
    </row>
    <row r="662">
      <c r="A662" s="11"/>
      <c r="I662" s="101"/>
    </row>
    <row r="663">
      <c r="A663" s="11"/>
      <c r="I663" s="101"/>
    </row>
    <row r="664">
      <c r="A664" s="11"/>
      <c r="I664" s="101"/>
    </row>
    <row r="665">
      <c r="A665" s="11"/>
      <c r="I665" s="101"/>
    </row>
    <row r="666">
      <c r="A666" s="11"/>
      <c r="I666" s="101"/>
    </row>
    <row r="667">
      <c r="A667" s="11"/>
      <c r="I667" s="101"/>
    </row>
    <row r="668">
      <c r="A668" s="11"/>
      <c r="I668" s="101"/>
    </row>
    <row r="669">
      <c r="A669" s="11"/>
      <c r="I669" s="101"/>
    </row>
    <row r="670">
      <c r="A670" s="11"/>
      <c r="I670" s="101"/>
    </row>
    <row r="671">
      <c r="A671" s="11"/>
      <c r="I671" s="101"/>
    </row>
    <row r="672">
      <c r="A672" s="11"/>
      <c r="I672" s="101"/>
    </row>
    <row r="673">
      <c r="A673" s="11"/>
      <c r="I673" s="101"/>
    </row>
    <row r="674">
      <c r="A674" s="11"/>
      <c r="I674" s="101"/>
    </row>
    <row r="675">
      <c r="A675" s="11"/>
      <c r="I675" s="101"/>
    </row>
    <row r="676">
      <c r="A676" s="11"/>
      <c r="I676" s="101"/>
    </row>
    <row r="677">
      <c r="A677" s="11"/>
      <c r="I677" s="101"/>
    </row>
    <row r="678">
      <c r="A678" s="11"/>
      <c r="I678" s="101"/>
    </row>
    <row r="679">
      <c r="A679" s="11"/>
      <c r="I679" s="101"/>
    </row>
    <row r="680">
      <c r="A680" s="11"/>
      <c r="I680" s="101"/>
    </row>
    <row r="681">
      <c r="A681" s="11"/>
      <c r="I681" s="101"/>
    </row>
    <row r="682">
      <c r="A682" s="11"/>
      <c r="I682" s="101"/>
    </row>
    <row r="683">
      <c r="A683" s="11"/>
      <c r="I683" s="101"/>
    </row>
    <row r="684">
      <c r="A684" s="11"/>
      <c r="I684" s="101"/>
    </row>
    <row r="685">
      <c r="A685" s="11"/>
      <c r="I685" s="101"/>
    </row>
    <row r="686">
      <c r="A686" s="11"/>
      <c r="I686" s="101"/>
    </row>
    <row r="687">
      <c r="A687" s="11"/>
      <c r="I687" s="101"/>
    </row>
    <row r="688">
      <c r="A688" s="11"/>
      <c r="I688" s="101"/>
    </row>
    <row r="689">
      <c r="A689" s="11"/>
      <c r="I689" s="101"/>
    </row>
    <row r="690">
      <c r="A690" s="11"/>
      <c r="I690" s="101"/>
    </row>
    <row r="691">
      <c r="A691" s="11"/>
      <c r="I691" s="101"/>
    </row>
    <row r="692">
      <c r="A692" s="11"/>
      <c r="I692" s="101"/>
    </row>
    <row r="693">
      <c r="A693" s="11"/>
      <c r="I693" s="101"/>
    </row>
    <row r="694">
      <c r="A694" s="11"/>
      <c r="I694" s="101"/>
    </row>
    <row r="695">
      <c r="A695" s="11"/>
      <c r="I695" s="101"/>
    </row>
    <row r="696">
      <c r="A696" s="11"/>
      <c r="I696" s="101"/>
    </row>
    <row r="697">
      <c r="A697" s="11"/>
      <c r="I697" s="101"/>
    </row>
    <row r="698">
      <c r="A698" s="11"/>
      <c r="I698" s="101"/>
    </row>
    <row r="699">
      <c r="A699" s="11"/>
      <c r="I699" s="101"/>
    </row>
    <row r="700">
      <c r="A700" s="11"/>
      <c r="I700" s="101"/>
    </row>
    <row r="701">
      <c r="A701" s="11"/>
      <c r="I701" s="101"/>
    </row>
    <row r="702">
      <c r="A702" s="11"/>
      <c r="I702" s="101"/>
    </row>
    <row r="703">
      <c r="A703" s="11"/>
      <c r="I703" s="101"/>
    </row>
    <row r="704">
      <c r="A704" s="11"/>
      <c r="I704" s="101"/>
    </row>
    <row r="705">
      <c r="A705" s="11"/>
      <c r="I705" s="101"/>
    </row>
    <row r="706">
      <c r="A706" s="11"/>
      <c r="I706" s="101"/>
    </row>
    <row r="707">
      <c r="A707" s="11"/>
      <c r="I707" s="101"/>
    </row>
    <row r="708">
      <c r="A708" s="11"/>
      <c r="I708" s="101"/>
    </row>
    <row r="709">
      <c r="A709" s="11"/>
      <c r="I709" s="101"/>
    </row>
    <row r="710">
      <c r="A710" s="11"/>
      <c r="I710" s="101"/>
    </row>
    <row r="711">
      <c r="A711" s="11"/>
      <c r="I711" s="101"/>
    </row>
    <row r="712">
      <c r="A712" s="11"/>
      <c r="I712" s="101"/>
    </row>
    <row r="713">
      <c r="A713" s="11"/>
      <c r="I713" s="101"/>
    </row>
    <row r="714">
      <c r="A714" s="11"/>
      <c r="I714" s="101"/>
    </row>
    <row r="715">
      <c r="A715" s="11"/>
      <c r="I715" s="101"/>
    </row>
    <row r="716">
      <c r="A716" s="11"/>
      <c r="I716" s="101"/>
    </row>
    <row r="717">
      <c r="A717" s="11"/>
      <c r="I717" s="101"/>
    </row>
    <row r="718">
      <c r="A718" s="11"/>
      <c r="I718" s="101"/>
    </row>
    <row r="719">
      <c r="A719" s="11"/>
      <c r="I719" s="101"/>
    </row>
    <row r="720">
      <c r="A720" s="11"/>
      <c r="I720" s="101"/>
    </row>
    <row r="721">
      <c r="A721" s="11"/>
      <c r="I721" s="101"/>
    </row>
    <row r="722">
      <c r="A722" s="11"/>
      <c r="I722" s="101"/>
    </row>
    <row r="723">
      <c r="A723" s="11"/>
      <c r="I723" s="101"/>
    </row>
    <row r="724">
      <c r="A724" s="11"/>
      <c r="I724" s="101"/>
    </row>
    <row r="725">
      <c r="A725" s="11"/>
      <c r="I725" s="101"/>
    </row>
    <row r="726">
      <c r="A726" s="11"/>
      <c r="I726" s="101"/>
    </row>
    <row r="727">
      <c r="A727" s="11"/>
      <c r="I727" s="101"/>
    </row>
    <row r="728">
      <c r="A728" s="11"/>
      <c r="I728" s="101"/>
    </row>
    <row r="729">
      <c r="A729" s="11"/>
      <c r="I729" s="101"/>
    </row>
    <row r="730">
      <c r="A730" s="11"/>
      <c r="I730" s="101"/>
    </row>
    <row r="731">
      <c r="A731" s="11"/>
      <c r="I731" s="101"/>
    </row>
    <row r="732">
      <c r="A732" s="11"/>
      <c r="I732" s="101"/>
    </row>
    <row r="733">
      <c r="A733" s="11"/>
      <c r="I733" s="101"/>
    </row>
    <row r="734">
      <c r="A734" s="11"/>
      <c r="I734" s="101"/>
    </row>
    <row r="735">
      <c r="A735" s="11"/>
      <c r="I735" s="101"/>
    </row>
    <row r="736">
      <c r="A736" s="11"/>
      <c r="I736" s="101"/>
    </row>
    <row r="737">
      <c r="A737" s="11"/>
      <c r="I737" s="101"/>
    </row>
    <row r="738">
      <c r="A738" s="11"/>
      <c r="I738" s="101"/>
    </row>
    <row r="739">
      <c r="A739" s="11"/>
      <c r="I739" s="101"/>
    </row>
    <row r="740">
      <c r="A740" s="11"/>
      <c r="I740" s="101"/>
    </row>
    <row r="741">
      <c r="A741" s="11"/>
      <c r="I741" s="101"/>
    </row>
    <row r="742">
      <c r="A742" s="11"/>
      <c r="I742" s="101"/>
    </row>
    <row r="743">
      <c r="A743" s="11"/>
      <c r="I743" s="101"/>
    </row>
    <row r="744">
      <c r="A744" s="11"/>
      <c r="I744" s="101"/>
    </row>
    <row r="745">
      <c r="A745" s="11"/>
      <c r="I745" s="101"/>
    </row>
    <row r="746">
      <c r="A746" s="11"/>
      <c r="I746" s="101"/>
    </row>
    <row r="747">
      <c r="A747" s="11"/>
      <c r="I747" s="101"/>
    </row>
    <row r="748">
      <c r="A748" s="11"/>
      <c r="I748" s="101"/>
    </row>
    <row r="749">
      <c r="A749" s="11"/>
      <c r="I749" s="101"/>
    </row>
    <row r="750">
      <c r="A750" s="11"/>
      <c r="I750" s="101"/>
    </row>
    <row r="751">
      <c r="A751" s="11"/>
      <c r="I751" s="101"/>
    </row>
    <row r="752">
      <c r="A752" s="11"/>
      <c r="I752" s="101"/>
    </row>
    <row r="753">
      <c r="A753" s="11"/>
      <c r="I753" s="101"/>
    </row>
    <row r="754">
      <c r="A754" s="11"/>
      <c r="I754" s="101"/>
    </row>
    <row r="755">
      <c r="A755" s="11"/>
      <c r="I755" s="101"/>
    </row>
    <row r="756">
      <c r="A756" s="11"/>
      <c r="I756" s="101"/>
    </row>
    <row r="757">
      <c r="A757" s="11"/>
      <c r="I757" s="101"/>
    </row>
    <row r="758">
      <c r="A758" s="11"/>
      <c r="I758" s="101"/>
    </row>
    <row r="759">
      <c r="A759" s="11"/>
      <c r="I759" s="101"/>
    </row>
    <row r="760">
      <c r="A760" s="11"/>
      <c r="I760" s="101"/>
    </row>
    <row r="761">
      <c r="A761" s="11"/>
      <c r="I761" s="101"/>
    </row>
    <row r="762">
      <c r="A762" s="11"/>
      <c r="I762" s="101"/>
    </row>
    <row r="763">
      <c r="A763" s="11"/>
      <c r="I763" s="101"/>
    </row>
    <row r="764">
      <c r="A764" s="11"/>
      <c r="I764" s="101"/>
    </row>
    <row r="765">
      <c r="A765" s="11"/>
      <c r="I765" s="101"/>
    </row>
    <row r="766">
      <c r="A766" s="11"/>
      <c r="I766" s="101"/>
    </row>
    <row r="767">
      <c r="A767" s="11"/>
      <c r="I767" s="101"/>
    </row>
    <row r="768">
      <c r="A768" s="11"/>
      <c r="I768" s="101"/>
    </row>
    <row r="769">
      <c r="A769" s="11"/>
      <c r="I769" s="101"/>
    </row>
    <row r="770">
      <c r="A770" s="11"/>
      <c r="I770" s="101"/>
    </row>
    <row r="771">
      <c r="A771" s="11"/>
      <c r="I771" s="101"/>
    </row>
    <row r="772">
      <c r="A772" s="11"/>
      <c r="I772" s="101"/>
    </row>
    <row r="773">
      <c r="A773" s="11"/>
      <c r="I773" s="101"/>
    </row>
    <row r="774">
      <c r="A774" s="11"/>
      <c r="I774" s="101"/>
    </row>
    <row r="775">
      <c r="A775" s="11"/>
      <c r="I775" s="101"/>
    </row>
    <row r="776">
      <c r="A776" s="11"/>
      <c r="I776" s="101"/>
    </row>
    <row r="777">
      <c r="A777" s="11"/>
      <c r="I777" s="101"/>
    </row>
    <row r="778">
      <c r="A778" s="11"/>
      <c r="I778" s="101"/>
    </row>
    <row r="779">
      <c r="A779" s="11"/>
      <c r="I779" s="101"/>
    </row>
    <row r="780">
      <c r="A780" s="11"/>
      <c r="I780" s="101"/>
    </row>
    <row r="781">
      <c r="A781" s="11"/>
      <c r="I781" s="101"/>
    </row>
    <row r="782">
      <c r="A782" s="11"/>
      <c r="I782" s="101"/>
    </row>
    <row r="783">
      <c r="A783" s="11"/>
      <c r="I783" s="101"/>
    </row>
    <row r="784">
      <c r="A784" s="11"/>
      <c r="I784" s="101"/>
    </row>
    <row r="785">
      <c r="A785" s="11"/>
      <c r="I785" s="101"/>
    </row>
    <row r="786">
      <c r="A786" s="11"/>
      <c r="I786" s="101"/>
    </row>
    <row r="787">
      <c r="A787" s="11"/>
      <c r="I787" s="101"/>
    </row>
    <row r="788">
      <c r="A788" s="11"/>
      <c r="I788" s="101"/>
    </row>
    <row r="789">
      <c r="A789" s="11"/>
      <c r="I789" s="101"/>
    </row>
    <row r="790">
      <c r="A790" s="11"/>
      <c r="I790" s="101"/>
    </row>
    <row r="791">
      <c r="A791" s="11"/>
      <c r="I791" s="101"/>
    </row>
    <row r="792">
      <c r="A792" s="11"/>
      <c r="I792" s="101"/>
    </row>
    <row r="793">
      <c r="A793" s="11"/>
      <c r="I793" s="101"/>
    </row>
    <row r="794">
      <c r="A794" s="11"/>
      <c r="I794" s="101"/>
    </row>
    <row r="795">
      <c r="A795" s="11"/>
      <c r="I795" s="101"/>
    </row>
    <row r="796">
      <c r="A796" s="11"/>
      <c r="I796" s="101"/>
    </row>
    <row r="797">
      <c r="A797" s="11"/>
      <c r="I797" s="101"/>
    </row>
    <row r="798">
      <c r="A798" s="11"/>
      <c r="I798" s="101"/>
    </row>
    <row r="799">
      <c r="A799" s="11"/>
      <c r="I799" s="101"/>
    </row>
    <row r="800">
      <c r="A800" s="11"/>
      <c r="I800" s="101"/>
    </row>
    <row r="801">
      <c r="A801" s="11"/>
      <c r="I801" s="101"/>
    </row>
    <row r="802">
      <c r="A802" s="11"/>
      <c r="I802" s="101"/>
    </row>
    <row r="803">
      <c r="A803" s="11"/>
      <c r="I803" s="101"/>
    </row>
    <row r="804">
      <c r="A804" s="11"/>
      <c r="I804" s="101"/>
    </row>
    <row r="805">
      <c r="A805" s="11"/>
      <c r="I805" s="101"/>
    </row>
    <row r="806">
      <c r="A806" s="11"/>
      <c r="I806" s="101"/>
    </row>
    <row r="807">
      <c r="A807" s="11"/>
      <c r="I807" s="101"/>
    </row>
    <row r="808">
      <c r="A808" s="11"/>
      <c r="I808" s="101"/>
    </row>
    <row r="809">
      <c r="A809" s="11"/>
      <c r="I809" s="101"/>
    </row>
    <row r="810">
      <c r="A810" s="11"/>
      <c r="I810" s="101"/>
    </row>
    <row r="811">
      <c r="A811" s="11"/>
      <c r="I811" s="101"/>
    </row>
    <row r="812">
      <c r="A812" s="11"/>
      <c r="I812" s="101"/>
    </row>
    <row r="813">
      <c r="A813" s="11"/>
      <c r="I813" s="101"/>
    </row>
    <row r="814">
      <c r="A814" s="11"/>
      <c r="I814" s="101"/>
    </row>
    <row r="815">
      <c r="A815" s="11"/>
      <c r="I815" s="101"/>
    </row>
    <row r="816">
      <c r="A816" s="11"/>
      <c r="I816" s="101"/>
    </row>
    <row r="817">
      <c r="A817" s="11"/>
      <c r="I817" s="101"/>
    </row>
    <row r="818">
      <c r="A818" s="11"/>
      <c r="I818" s="101"/>
    </row>
    <row r="819">
      <c r="A819" s="11"/>
      <c r="I819" s="101"/>
    </row>
    <row r="820">
      <c r="A820" s="11"/>
      <c r="I820" s="101"/>
    </row>
    <row r="821">
      <c r="A821" s="11"/>
      <c r="I821" s="101"/>
    </row>
    <row r="822">
      <c r="A822" s="11"/>
      <c r="I822" s="101"/>
    </row>
    <row r="823">
      <c r="A823" s="11"/>
      <c r="I823" s="101"/>
    </row>
    <row r="824">
      <c r="A824" s="11"/>
      <c r="I824" s="101"/>
    </row>
    <row r="825">
      <c r="A825" s="11"/>
      <c r="I825" s="101"/>
    </row>
    <row r="826">
      <c r="A826" s="11"/>
      <c r="I826" s="101"/>
    </row>
    <row r="827">
      <c r="A827" s="11"/>
      <c r="I827" s="101"/>
    </row>
    <row r="828">
      <c r="A828" s="11"/>
      <c r="I828" s="101"/>
    </row>
    <row r="829">
      <c r="A829" s="11"/>
      <c r="I829" s="101"/>
    </row>
    <row r="830">
      <c r="A830" s="11"/>
      <c r="I830" s="101"/>
    </row>
    <row r="831">
      <c r="A831" s="11"/>
      <c r="I831" s="101"/>
    </row>
    <row r="832">
      <c r="A832" s="11"/>
      <c r="I832" s="101"/>
    </row>
    <row r="833">
      <c r="A833" s="11"/>
      <c r="I833" s="101"/>
    </row>
    <row r="834">
      <c r="A834" s="11"/>
      <c r="I834" s="101"/>
    </row>
    <row r="835">
      <c r="A835" s="11"/>
      <c r="I835" s="101"/>
    </row>
    <row r="836">
      <c r="A836" s="11"/>
      <c r="I836" s="101"/>
    </row>
    <row r="837">
      <c r="A837" s="11"/>
      <c r="I837" s="101"/>
    </row>
    <row r="838">
      <c r="A838" s="11"/>
      <c r="I838" s="101"/>
    </row>
    <row r="839">
      <c r="A839" s="11"/>
      <c r="I839" s="101"/>
    </row>
    <row r="840">
      <c r="A840" s="11"/>
      <c r="I840" s="101"/>
    </row>
    <row r="841">
      <c r="A841" s="11"/>
      <c r="I841" s="101"/>
    </row>
    <row r="842">
      <c r="A842" s="11"/>
      <c r="I842" s="101"/>
    </row>
    <row r="843">
      <c r="A843" s="11"/>
      <c r="I843" s="101"/>
    </row>
    <row r="844">
      <c r="A844" s="11"/>
      <c r="I844" s="101"/>
    </row>
    <row r="845">
      <c r="A845" s="11"/>
      <c r="I845" s="101"/>
    </row>
    <row r="846">
      <c r="A846" s="11"/>
      <c r="I846" s="101"/>
    </row>
    <row r="847">
      <c r="A847" s="11"/>
      <c r="I847" s="101"/>
    </row>
    <row r="848">
      <c r="A848" s="11"/>
      <c r="I848" s="101"/>
    </row>
    <row r="849">
      <c r="A849" s="11"/>
      <c r="I849" s="101"/>
    </row>
    <row r="850">
      <c r="A850" s="11"/>
      <c r="I850" s="101"/>
    </row>
    <row r="851">
      <c r="A851" s="11"/>
      <c r="I851" s="101"/>
    </row>
    <row r="852">
      <c r="A852" s="11"/>
      <c r="I852" s="101"/>
    </row>
    <row r="853">
      <c r="A853" s="11"/>
      <c r="I853" s="101"/>
    </row>
    <row r="854">
      <c r="A854" s="11"/>
      <c r="I854" s="101"/>
    </row>
    <row r="855">
      <c r="A855" s="11"/>
      <c r="I855" s="101"/>
    </row>
    <row r="856">
      <c r="A856" s="11"/>
      <c r="I856" s="101"/>
    </row>
    <row r="857">
      <c r="A857" s="11"/>
      <c r="I857" s="101"/>
    </row>
    <row r="858">
      <c r="A858" s="11"/>
      <c r="I858" s="101"/>
    </row>
    <row r="859">
      <c r="A859" s="11"/>
      <c r="I859" s="101"/>
    </row>
    <row r="860">
      <c r="A860" s="11"/>
      <c r="I860" s="101"/>
    </row>
    <row r="861">
      <c r="A861" s="11"/>
      <c r="I861" s="101"/>
    </row>
    <row r="862">
      <c r="A862" s="11"/>
      <c r="I862" s="101"/>
    </row>
    <row r="863">
      <c r="A863" s="11"/>
      <c r="I863" s="101"/>
    </row>
    <row r="864">
      <c r="A864" s="11"/>
      <c r="I864" s="101"/>
    </row>
    <row r="865">
      <c r="A865" s="11"/>
      <c r="I865" s="101"/>
    </row>
    <row r="866">
      <c r="A866" s="11"/>
      <c r="I866" s="101"/>
    </row>
    <row r="867">
      <c r="A867" s="11"/>
      <c r="I867" s="101"/>
    </row>
    <row r="868">
      <c r="A868" s="11"/>
      <c r="I868" s="101"/>
    </row>
    <row r="869">
      <c r="A869" s="11"/>
      <c r="I869" s="101"/>
    </row>
    <row r="870">
      <c r="A870" s="11"/>
      <c r="I870" s="101"/>
    </row>
    <row r="871">
      <c r="A871" s="11"/>
      <c r="I871" s="101"/>
    </row>
    <row r="872">
      <c r="A872" s="11"/>
      <c r="I872" s="101"/>
    </row>
    <row r="873">
      <c r="A873" s="11"/>
      <c r="I873" s="101"/>
    </row>
    <row r="874">
      <c r="A874" s="11"/>
      <c r="I874" s="101"/>
    </row>
    <row r="875">
      <c r="A875" s="11"/>
      <c r="I875" s="101"/>
    </row>
    <row r="876">
      <c r="A876" s="11"/>
      <c r="I876" s="101"/>
    </row>
    <row r="877">
      <c r="A877" s="11"/>
      <c r="I877" s="101"/>
    </row>
    <row r="878">
      <c r="A878" s="11"/>
      <c r="I878" s="101"/>
    </row>
    <row r="879">
      <c r="A879" s="11"/>
      <c r="I879" s="101"/>
    </row>
    <row r="880">
      <c r="A880" s="11"/>
      <c r="I880" s="101"/>
    </row>
    <row r="881">
      <c r="A881" s="11"/>
      <c r="I881" s="101"/>
    </row>
    <row r="882">
      <c r="A882" s="11"/>
      <c r="I882" s="101"/>
    </row>
    <row r="883">
      <c r="A883" s="11"/>
      <c r="I883" s="101"/>
    </row>
    <row r="884">
      <c r="A884" s="11"/>
      <c r="I884" s="101"/>
    </row>
    <row r="885">
      <c r="A885" s="11"/>
      <c r="I885" s="101"/>
    </row>
    <row r="886">
      <c r="A886" s="11"/>
      <c r="I886" s="101"/>
    </row>
    <row r="887">
      <c r="A887" s="11"/>
      <c r="I887" s="101"/>
    </row>
    <row r="888">
      <c r="A888" s="11"/>
      <c r="I888" s="101"/>
    </row>
    <row r="889">
      <c r="A889" s="11"/>
      <c r="I889" s="101"/>
    </row>
    <row r="890">
      <c r="A890" s="11"/>
      <c r="I890" s="101"/>
    </row>
    <row r="891">
      <c r="A891" s="11"/>
      <c r="I891" s="101"/>
    </row>
    <row r="892">
      <c r="A892" s="11"/>
      <c r="I892" s="101"/>
    </row>
    <row r="893">
      <c r="A893" s="11"/>
      <c r="I893" s="101"/>
    </row>
    <row r="894">
      <c r="A894" s="11"/>
      <c r="I894" s="101"/>
    </row>
    <row r="895">
      <c r="A895" s="11"/>
      <c r="I895" s="101"/>
    </row>
    <row r="896">
      <c r="A896" s="11"/>
      <c r="I896" s="101"/>
    </row>
    <row r="897">
      <c r="A897" s="11"/>
      <c r="I897" s="101"/>
    </row>
    <row r="898">
      <c r="A898" s="11"/>
      <c r="I898" s="101"/>
    </row>
    <row r="899">
      <c r="A899" s="11"/>
      <c r="I899" s="101"/>
    </row>
    <row r="900">
      <c r="A900" s="11"/>
      <c r="I900" s="101"/>
    </row>
    <row r="901">
      <c r="A901" s="11"/>
      <c r="I901" s="101"/>
    </row>
    <row r="902">
      <c r="A902" s="11"/>
      <c r="I902" s="101"/>
    </row>
    <row r="903">
      <c r="A903" s="11"/>
      <c r="I903" s="101"/>
    </row>
    <row r="904">
      <c r="A904" s="11"/>
      <c r="I904" s="101"/>
    </row>
    <row r="905">
      <c r="A905" s="11"/>
      <c r="I905" s="101"/>
    </row>
    <row r="906">
      <c r="A906" s="11"/>
      <c r="I906" s="101"/>
    </row>
    <row r="907">
      <c r="A907" s="11"/>
      <c r="I907" s="101"/>
    </row>
    <row r="908">
      <c r="A908" s="11"/>
      <c r="I908" s="101"/>
    </row>
    <row r="909">
      <c r="A909" s="11"/>
      <c r="I909" s="101"/>
    </row>
    <row r="910">
      <c r="A910" s="11"/>
      <c r="I910" s="101"/>
    </row>
    <row r="911">
      <c r="A911" s="11"/>
      <c r="I911" s="101"/>
    </row>
    <row r="912">
      <c r="A912" s="11"/>
      <c r="I912" s="101"/>
    </row>
    <row r="913">
      <c r="A913" s="11"/>
      <c r="I913" s="101"/>
    </row>
    <row r="914">
      <c r="A914" s="11"/>
      <c r="I914" s="101"/>
    </row>
    <row r="915">
      <c r="A915" s="11"/>
      <c r="I915" s="101"/>
    </row>
    <row r="916">
      <c r="A916" s="11"/>
      <c r="I916" s="101"/>
    </row>
    <row r="917">
      <c r="A917" s="11"/>
      <c r="I917" s="101"/>
    </row>
    <row r="918">
      <c r="A918" s="11"/>
      <c r="I918" s="101"/>
    </row>
    <row r="919">
      <c r="A919" s="11"/>
      <c r="I919" s="101"/>
    </row>
    <row r="920">
      <c r="A920" s="11"/>
      <c r="I920" s="101"/>
    </row>
    <row r="921">
      <c r="A921" s="11"/>
      <c r="I921" s="101"/>
    </row>
    <row r="922">
      <c r="A922" s="11"/>
      <c r="I922" s="101"/>
    </row>
    <row r="923">
      <c r="A923" s="11"/>
      <c r="I923" s="101"/>
    </row>
    <row r="924">
      <c r="A924" s="11"/>
      <c r="I924" s="101"/>
    </row>
    <row r="925">
      <c r="A925" s="11"/>
      <c r="I925" s="101"/>
    </row>
    <row r="926">
      <c r="A926" s="11"/>
      <c r="I926" s="101"/>
    </row>
    <row r="927">
      <c r="A927" s="11"/>
      <c r="I927" s="101"/>
    </row>
    <row r="928">
      <c r="A928" s="11"/>
      <c r="I928" s="101"/>
    </row>
    <row r="929">
      <c r="A929" s="11"/>
      <c r="I929" s="101"/>
    </row>
    <row r="930">
      <c r="A930" s="11"/>
      <c r="I930" s="101"/>
    </row>
    <row r="931">
      <c r="A931" s="11"/>
      <c r="I931" s="101"/>
    </row>
    <row r="932">
      <c r="A932" s="11"/>
      <c r="I932" s="101"/>
    </row>
    <row r="933">
      <c r="A933" s="11"/>
      <c r="I933" s="101"/>
    </row>
    <row r="934">
      <c r="A934" s="11"/>
      <c r="I934" s="101"/>
    </row>
    <row r="935">
      <c r="A935" s="11"/>
      <c r="I935" s="101"/>
    </row>
    <row r="936">
      <c r="A936" s="11"/>
      <c r="I936" s="101"/>
    </row>
    <row r="937">
      <c r="A937" s="11"/>
      <c r="I937" s="101"/>
    </row>
    <row r="938">
      <c r="A938" s="11"/>
      <c r="I938" s="101"/>
    </row>
    <row r="939">
      <c r="A939" s="11"/>
      <c r="I939" s="101"/>
    </row>
    <row r="940">
      <c r="A940" s="11"/>
      <c r="I940" s="101"/>
    </row>
    <row r="941">
      <c r="A941" s="11"/>
      <c r="I941" s="101"/>
    </row>
    <row r="942">
      <c r="A942" s="11"/>
      <c r="I942" s="101"/>
    </row>
    <row r="943">
      <c r="A943" s="11"/>
      <c r="I943" s="101"/>
    </row>
    <row r="944">
      <c r="A944" s="11"/>
      <c r="I944" s="101"/>
    </row>
    <row r="945">
      <c r="A945" s="11"/>
      <c r="I945" s="101"/>
    </row>
    <row r="946">
      <c r="A946" s="11"/>
      <c r="I946" s="101"/>
    </row>
    <row r="947">
      <c r="A947" s="11"/>
      <c r="I947" s="101"/>
    </row>
    <row r="948">
      <c r="A948" s="11"/>
      <c r="I948" s="101"/>
    </row>
    <row r="949">
      <c r="A949" s="11"/>
      <c r="I949" s="101"/>
    </row>
    <row r="950">
      <c r="A950" s="11"/>
      <c r="I950" s="101"/>
    </row>
    <row r="951">
      <c r="A951" s="11"/>
      <c r="I951" s="101"/>
    </row>
    <row r="952">
      <c r="A952" s="11"/>
      <c r="I952" s="101"/>
    </row>
    <row r="953">
      <c r="A953" s="11"/>
      <c r="I953" s="101"/>
    </row>
    <row r="954">
      <c r="A954" s="11"/>
      <c r="I954" s="101"/>
    </row>
    <row r="955">
      <c r="A955" s="11"/>
      <c r="I955" s="101"/>
    </row>
    <row r="956">
      <c r="A956" s="11"/>
      <c r="I956" s="101"/>
    </row>
    <row r="957">
      <c r="A957" s="11"/>
      <c r="I957" s="101"/>
    </row>
    <row r="958">
      <c r="A958" s="11"/>
      <c r="I958" s="101"/>
    </row>
    <row r="959">
      <c r="A959" s="11"/>
      <c r="I959" s="101"/>
    </row>
    <row r="960">
      <c r="A960" s="11"/>
      <c r="I960" s="101"/>
    </row>
    <row r="961">
      <c r="A961" s="11"/>
      <c r="I961" s="101"/>
    </row>
    <row r="962">
      <c r="A962" s="11"/>
      <c r="I962" s="101"/>
    </row>
    <row r="963">
      <c r="A963" s="11"/>
      <c r="I963" s="101"/>
    </row>
    <row r="964">
      <c r="A964" s="11"/>
      <c r="I964" s="101"/>
    </row>
    <row r="965">
      <c r="A965" s="11"/>
      <c r="I965" s="101"/>
    </row>
    <row r="966">
      <c r="A966" s="11"/>
      <c r="I966" s="101"/>
    </row>
    <row r="967">
      <c r="A967" s="11"/>
      <c r="I967" s="101"/>
    </row>
    <row r="968">
      <c r="A968" s="11"/>
      <c r="I968" s="101"/>
    </row>
    <row r="969">
      <c r="A969" s="11"/>
      <c r="I969" s="101"/>
    </row>
    <row r="970">
      <c r="A970" s="11"/>
      <c r="I970" s="101"/>
    </row>
    <row r="971">
      <c r="A971" s="11"/>
      <c r="I971" s="101"/>
    </row>
    <row r="972">
      <c r="A972" s="11"/>
      <c r="I972" s="101"/>
    </row>
    <row r="973">
      <c r="A973" s="11"/>
      <c r="I973" s="101"/>
    </row>
    <row r="974">
      <c r="A974" s="11"/>
      <c r="I974" s="101"/>
    </row>
    <row r="975">
      <c r="A975" s="11"/>
      <c r="I975" s="101"/>
    </row>
    <row r="976">
      <c r="A976" s="11"/>
      <c r="I976" s="101"/>
    </row>
    <row r="977">
      <c r="A977" s="11"/>
      <c r="I977" s="101"/>
    </row>
    <row r="978">
      <c r="A978" s="11"/>
      <c r="I978" s="101"/>
    </row>
    <row r="979">
      <c r="A979" s="11"/>
      <c r="I979" s="101"/>
    </row>
    <row r="980">
      <c r="A980" s="11"/>
      <c r="I980" s="101"/>
    </row>
    <row r="981">
      <c r="A981" s="11"/>
      <c r="I981" s="101"/>
    </row>
    <row r="982">
      <c r="A982" s="11"/>
      <c r="I982" s="101"/>
    </row>
    <row r="983">
      <c r="A983" s="11"/>
      <c r="I983" s="101"/>
    </row>
    <row r="984">
      <c r="A984" s="11"/>
      <c r="I984" s="101"/>
    </row>
    <row r="985">
      <c r="A985" s="11"/>
      <c r="I985" s="101"/>
    </row>
    <row r="986">
      <c r="A986" s="11"/>
      <c r="I986" s="101"/>
    </row>
    <row r="987">
      <c r="A987" s="11"/>
      <c r="I987" s="101"/>
    </row>
    <row r="988">
      <c r="A988" s="11"/>
      <c r="I988" s="101"/>
    </row>
    <row r="989">
      <c r="A989" s="11"/>
      <c r="I989" s="101"/>
    </row>
    <row r="990">
      <c r="A990" s="11"/>
      <c r="I990" s="101"/>
    </row>
    <row r="991">
      <c r="A991" s="11"/>
      <c r="I991" s="101"/>
    </row>
    <row r="992">
      <c r="A992" s="11"/>
      <c r="I992" s="101"/>
    </row>
    <row r="993">
      <c r="A993" s="11"/>
      <c r="I993" s="101"/>
    </row>
    <row r="994">
      <c r="A994" s="11"/>
      <c r="I994" s="101"/>
    </row>
    <row r="995">
      <c r="A995" s="11"/>
      <c r="I995" s="101"/>
    </row>
    <row r="996">
      <c r="A996" s="11"/>
      <c r="I996" s="101"/>
    </row>
    <row r="997">
      <c r="A997" s="11"/>
      <c r="I997" s="101"/>
    </row>
    <row r="998">
      <c r="A998" s="11"/>
      <c r="I998" s="101"/>
    </row>
    <row r="999">
      <c r="A999" s="11"/>
      <c r="I999" s="101"/>
    </row>
    <row r="1000">
      <c r="A1000" s="11"/>
      <c r="I1000" s="101"/>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6.44"/>
    <col customWidth="1" min="2" max="2" width="33.11"/>
    <col customWidth="1" min="3" max="3" width="47.89"/>
    <col customWidth="1" min="4" max="4" width="32.56"/>
    <col customWidth="1" min="5" max="5" width="17.11"/>
    <col customWidth="1" min="6" max="6" width="14.78"/>
    <col customWidth="1" min="7" max="7" width="21.89"/>
    <col customWidth="1" min="8" max="8" width="18.56"/>
  </cols>
  <sheetData>
    <row r="1">
      <c r="A1" s="106" t="s">
        <v>797</v>
      </c>
    </row>
    <row r="2">
      <c r="A2" s="31" t="s">
        <v>798</v>
      </c>
    </row>
    <row r="3">
      <c r="A3" s="100" t="s">
        <v>799</v>
      </c>
    </row>
    <row r="4">
      <c r="A4" s="100" t="s">
        <v>800</v>
      </c>
    </row>
    <row r="5">
      <c r="A5" s="103" t="s">
        <v>801</v>
      </c>
      <c r="B5" s="103" t="s">
        <v>802</v>
      </c>
    </row>
    <row r="6">
      <c r="A6" s="107" t="s">
        <v>803</v>
      </c>
      <c r="B6" s="107" t="s">
        <v>804</v>
      </c>
    </row>
    <row r="7">
      <c r="A7" s="107" t="s">
        <v>805</v>
      </c>
      <c r="B7" s="107" t="s">
        <v>806</v>
      </c>
    </row>
    <row r="8">
      <c r="A8" s="107" t="s">
        <v>807</v>
      </c>
      <c r="B8" s="107" t="s">
        <v>808</v>
      </c>
    </row>
    <row r="9">
      <c r="A9" s="107" t="s">
        <v>809</v>
      </c>
      <c r="B9" s="107" t="s">
        <v>810</v>
      </c>
    </row>
    <row r="10">
      <c r="A10" s="107" t="s">
        <v>811</v>
      </c>
      <c r="B10" s="107" t="s">
        <v>812</v>
      </c>
    </row>
    <row r="11">
      <c r="A11" s="107" t="s">
        <v>813</v>
      </c>
      <c r="B11" s="107" t="s">
        <v>814</v>
      </c>
    </row>
    <row r="12">
      <c r="A12" s="107" t="s">
        <v>815</v>
      </c>
      <c r="B12" s="107" t="s">
        <v>816</v>
      </c>
    </row>
    <row r="13">
      <c r="A13" s="107" t="s">
        <v>817</v>
      </c>
      <c r="B13" s="107" t="s">
        <v>818</v>
      </c>
    </row>
    <row r="14">
      <c r="A14" s="108" t="s">
        <v>819</v>
      </c>
    </row>
    <row r="15">
      <c r="A15" s="109" t="s">
        <v>820</v>
      </c>
    </row>
    <row r="16">
      <c r="A16" s="103" t="s">
        <v>619</v>
      </c>
      <c r="B16" s="103" t="s">
        <v>821</v>
      </c>
      <c r="C16" s="103" t="s">
        <v>822</v>
      </c>
      <c r="D16" s="103" t="s">
        <v>823</v>
      </c>
      <c r="E16" s="103" t="s">
        <v>824</v>
      </c>
      <c r="F16" s="103" t="s">
        <v>825</v>
      </c>
    </row>
    <row r="17">
      <c r="A17" s="105">
        <v>1.0</v>
      </c>
      <c r="B17" s="107" t="s">
        <v>826</v>
      </c>
      <c r="C17" s="107" t="s">
        <v>827</v>
      </c>
      <c r="D17" s="105" t="s">
        <v>828</v>
      </c>
      <c r="E17" s="105" t="s">
        <v>829</v>
      </c>
      <c r="F17" s="110"/>
    </row>
    <row r="18">
      <c r="A18" s="105">
        <v>2.0</v>
      </c>
      <c r="B18" s="107" t="s">
        <v>830</v>
      </c>
      <c r="C18" s="107" t="s">
        <v>831</v>
      </c>
      <c r="D18" s="105" t="s">
        <v>828</v>
      </c>
      <c r="E18" s="105" t="s">
        <v>829</v>
      </c>
      <c r="F18" s="110"/>
    </row>
    <row r="19">
      <c r="A19" s="105">
        <v>3.0</v>
      </c>
      <c r="B19" s="107" t="s">
        <v>832</v>
      </c>
      <c r="C19" s="107" t="s">
        <v>833</v>
      </c>
      <c r="D19" s="105" t="s">
        <v>834</v>
      </c>
      <c r="E19" s="105" t="s">
        <v>829</v>
      </c>
      <c r="F19" s="110"/>
    </row>
    <row r="20">
      <c r="A20" s="105">
        <v>4.0</v>
      </c>
      <c r="B20" s="107" t="s">
        <v>835</v>
      </c>
      <c r="C20" s="107" t="s">
        <v>836</v>
      </c>
      <c r="D20" s="105" t="s">
        <v>828</v>
      </c>
      <c r="E20" s="105" t="s">
        <v>829</v>
      </c>
      <c r="F20" s="110"/>
    </row>
    <row r="21">
      <c r="A21" s="105">
        <v>5.0</v>
      </c>
      <c r="B21" s="107" t="s">
        <v>837</v>
      </c>
      <c r="C21" s="107" t="s">
        <v>838</v>
      </c>
      <c r="D21" s="105" t="s">
        <v>828</v>
      </c>
      <c r="E21" s="105" t="s">
        <v>829</v>
      </c>
      <c r="F21" s="110"/>
    </row>
    <row r="22">
      <c r="A22" s="105">
        <v>6.0</v>
      </c>
      <c r="B22" s="107" t="s">
        <v>839</v>
      </c>
      <c r="C22" s="107" t="s">
        <v>840</v>
      </c>
      <c r="D22" s="105" t="s">
        <v>828</v>
      </c>
      <c r="E22" s="105" t="s">
        <v>829</v>
      </c>
      <c r="F22" s="110"/>
    </row>
    <row r="23">
      <c r="A23" s="105">
        <v>7.0</v>
      </c>
      <c r="B23" s="107" t="s">
        <v>841</v>
      </c>
      <c r="C23" s="107" t="s">
        <v>842</v>
      </c>
      <c r="D23" s="105" t="s">
        <v>828</v>
      </c>
      <c r="E23" s="105" t="s">
        <v>829</v>
      </c>
      <c r="F23" s="110"/>
    </row>
    <row r="24">
      <c r="A24" s="105">
        <v>8.0</v>
      </c>
      <c r="B24" s="107" t="s">
        <v>843</v>
      </c>
      <c r="C24" s="107" t="s">
        <v>844</v>
      </c>
      <c r="D24" s="105" t="s">
        <v>828</v>
      </c>
      <c r="E24" s="105" t="s">
        <v>829</v>
      </c>
      <c r="F24" s="111"/>
    </row>
    <row r="25">
      <c r="A25" s="112" t="s">
        <v>845</v>
      </c>
    </row>
    <row r="26">
      <c r="A26" s="103" t="s">
        <v>619</v>
      </c>
      <c r="B26" s="103" t="s">
        <v>846</v>
      </c>
      <c r="C26" s="103" t="s">
        <v>621</v>
      </c>
      <c r="D26" s="103" t="s">
        <v>847</v>
      </c>
      <c r="E26" s="103" t="s">
        <v>848</v>
      </c>
      <c r="F26" s="103" t="s">
        <v>849</v>
      </c>
      <c r="G26" s="103" t="s">
        <v>850</v>
      </c>
    </row>
    <row r="27">
      <c r="A27" s="105">
        <v>1.0</v>
      </c>
      <c r="B27" s="113"/>
      <c r="C27" s="113"/>
      <c r="D27" s="113"/>
      <c r="E27" s="113"/>
      <c r="F27" s="105" t="s">
        <v>851</v>
      </c>
      <c r="G27" s="110"/>
    </row>
    <row r="28">
      <c r="A28" s="105">
        <v>2.0</v>
      </c>
      <c r="B28" s="113"/>
      <c r="C28" s="113"/>
      <c r="D28" s="113"/>
      <c r="E28" s="113"/>
      <c r="F28" s="105" t="s">
        <v>851</v>
      </c>
      <c r="G28" s="110"/>
    </row>
    <row r="29">
      <c r="A29" s="105" t="s">
        <v>852</v>
      </c>
      <c r="B29" s="105" t="s">
        <v>852</v>
      </c>
      <c r="C29" s="105" t="s">
        <v>852</v>
      </c>
      <c r="D29" s="105" t="s">
        <v>852</v>
      </c>
      <c r="E29" s="105" t="s">
        <v>852</v>
      </c>
      <c r="F29" s="105" t="s">
        <v>852</v>
      </c>
      <c r="G29" s="105" t="s">
        <v>852</v>
      </c>
    </row>
    <row r="30">
      <c r="A30" s="114" t="s">
        <v>853</v>
      </c>
    </row>
    <row r="31">
      <c r="A31" s="114" t="s">
        <v>854</v>
      </c>
    </row>
    <row r="32">
      <c r="A32" s="114" t="s">
        <v>855</v>
      </c>
    </row>
    <row r="33">
      <c r="A33" s="112" t="s">
        <v>856</v>
      </c>
    </row>
    <row r="34">
      <c r="A34" s="103" t="s">
        <v>619</v>
      </c>
      <c r="B34" s="103" t="s">
        <v>857</v>
      </c>
      <c r="C34" s="103" t="s">
        <v>858</v>
      </c>
      <c r="D34" s="103" t="s">
        <v>859</v>
      </c>
      <c r="E34" s="103" t="s">
        <v>860</v>
      </c>
      <c r="F34" s="103" t="s">
        <v>861</v>
      </c>
    </row>
    <row r="35">
      <c r="A35" s="105">
        <v>1.0</v>
      </c>
      <c r="B35" s="113"/>
      <c r="C35" s="105" t="s">
        <v>862</v>
      </c>
      <c r="D35" s="113"/>
      <c r="E35" s="105" t="s">
        <v>863</v>
      </c>
      <c r="F35" s="110"/>
    </row>
    <row r="36">
      <c r="A36" s="105">
        <v>2.0</v>
      </c>
      <c r="B36" s="113"/>
      <c r="C36" s="105" t="s">
        <v>862</v>
      </c>
      <c r="D36" s="113"/>
      <c r="E36" s="105" t="s">
        <v>863</v>
      </c>
      <c r="F36" s="110"/>
    </row>
    <row r="37">
      <c r="A37" s="105" t="s">
        <v>852</v>
      </c>
      <c r="B37" s="105" t="s">
        <v>852</v>
      </c>
      <c r="C37" s="105" t="s">
        <v>852</v>
      </c>
      <c r="D37" s="105" t="s">
        <v>852</v>
      </c>
      <c r="E37" s="105" t="s">
        <v>852</v>
      </c>
      <c r="F37" s="105" t="s">
        <v>852</v>
      </c>
    </row>
    <row r="38">
      <c r="A38" s="114" t="s">
        <v>864</v>
      </c>
    </row>
    <row r="39">
      <c r="A39" s="112" t="s">
        <v>865</v>
      </c>
    </row>
    <row r="40">
      <c r="A40" s="114" t="s">
        <v>866</v>
      </c>
    </row>
    <row r="41">
      <c r="A41" s="114" t="s">
        <v>867</v>
      </c>
    </row>
    <row r="42">
      <c r="A42" s="114" t="s">
        <v>868</v>
      </c>
    </row>
    <row r="43">
      <c r="A43" s="114" t="s">
        <v>869</v>
      </c>
    </row>
    <row r="44">
      <c r="A44" s="114" t="s">
        <v>870</v>
      </c>
    </row>
    <row r="45">
      <c r="A45" s="112" t="s">
        <v>871</v>
      </c>
    </row>
    <row r="46">
      <c r="A46" s="103" t="s">
        <v>872</v>
      </c>
      <c r="B46" s="103" t="s">
        <v>873</v>
      </c>
      <c r="C46" s="103" t="s">
        <v>874</v>
      </c>
      <c r="D46" s="103" t="s">
        <v>875</v>
      </c>
      <c r="E46" s="103" t="s">
        <v>876</v>
      </c>
      <c r="F46" s="103" t="s">
        <v>877</v>
      </c>
    </row>
    <row r="47">
      <c r="A47" s="105" t="s">
        <v>878</v>
      </c>
      <c r="B47" s="105" t="s">
        <v>879</v>
      </c>
      <c r="C47" s="105" t="s">
        <v>880</v>
      </c>
      <c r="D47" s="105" t="s">
        <v>881</v>
      </c>
      <c r="E47" s="105" t="s">
        <v>816</v>
      </c>
      <c r="F47" s="105" t="s">
        <v>882</v>
      </c>
    </row>
    <row r="48">
      <c r="A48" s="105" t="s">
        <v>883</v>
      </c>
      <c r="B48" s="105" t="s">
        <v>884</v>
      </c>
      <c r="C48" s="105" t="s">
        <v>880</v>
      </c>
      <c r="D48" s="105" t="s">
        <v>881</v>
      </c>
      <c r="E48" s="105" t="s">
        <v>816</v>
      </c>
    </row>
  </sheetData>
  <drawing r:id="rId1"/>
</worksheet>
</file>